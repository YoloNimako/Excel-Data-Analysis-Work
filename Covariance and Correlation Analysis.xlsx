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riworldwide-my.sharepoint.com/personal/luyolo_nimako_circana_com/Documents/Documents/Excel Upskilling/Ex_Files_Learning_Excel_Data_Analysis/Ex_Files_Learning_Excel_Data_Analysis/Exercise Files/05_06/"/>
    </mc:Choice>
  </mc:AlternateContent>
  <xr:revisionPtr revIDLastSave="196" documentId="8_{B2B16B72-D4A1-4BED-BBC8-F9B7C257312E}" xr6:coauthVersionLast="47" xr6:coauthVersionMax="47" xr10:uidLastSave="{7E54FD39-6D8C-4070-A867-A6AF5CA1C2FA}"/>
  <bookViews>
    <workbookView xWindow="-120" yWindow="-120" windowWidth="29040" windowHeight="15720" activeTab="1" xr2:uid="{CF465AF9-5DDB-4A2A-BF07-6AC5C7ADBE41}"/>
  </bookViews>
  <sheets>
    <sheet name="Data" sheetId="1" r:id="rId1"/>
    <sheet name="Ques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7" i="2" l="1"/>
  <c r="C26" i="2"/>
  <c r="C23" i="2"/>
  <c r="C12" i="2"/>
  <c r="C6" i="2"/>
</calcChain>
</file>

<file path=xl/sharedStrings.xml><?xml version="1.0" encoding="utf-8"?>
<sst xmlns="http://schemas.openxmlformats.org/spreadsheetml/2006/main" count="28" uniqueCount="28">
  <si>
    <t>Week</t>
  </si>
  <si>
    <t>Ad Spend</t>
  </si>
  <si>
    <t>Website Visits</t>
  </si>
  <si>
    <t>Email Sends</t>
  </si>
  <si>
    <t>Discount Rate</t>
  </si>
  <si>
    <t>Revenue</t>
  </si>
  <si>
    <t>Gross Margin</t>
  </si>
  <si>
    <t>Delivery Days</t>
  </si>
  <si>
    <t>Customer Rating</t>
  </si>
  <si>
    <t>Question</t>
  </si>
  <si>
    <t>Answer</t>
  </si>
  <si>
    <t>Q1</t>
  </si>
  <si>
    <t>Calculate the covariance between Ad Spend and Revenue. Based on the result, do these two variables tend to move in the same direction or in opposite directions?</t>
  </si>
  <si>
    <t>Interpretation</t>
  </si>
  <si>
    <t>Calculate the covariance between Delivery Days and Customer Rating. Based on the result, what does this suggest about the relationship?</t>
  </si>
  <si>
    <t>Q2</t>
  </si>
  <si>
    <t>Q3</t>
  </si>
  <si>
    <t>Calculate the correlation between Website Visits and Revenue. How strong is the relationship?</t>
  </si>
  <si>
    <t>Which relationship is stronger?</t>
  </si>
  <si>
    <t>1. Ad Spend and Revenue</t>
  </si>
  <si>
    <t>2. Delivery Days and Customer Rating</t>
  </si>
  <si>
    <t>Q4</t>
  </si>
  <si>
    <t>Measuring Covariance and Correlation</t>
  </si>
  <si>
    <t>This relationship is a strong positive relationship, as one rises the other tends to rise.</t>
  </si>
  <si>
    <t>This relationship is a strong negative relationship, as one rises the other tends to fall.</t>
  </si>
  <si>
    <t>The covariance is positive, these two variables tend to move together in the same direction. The Ad Spend increases as revenue does, but this does not show the cause and effect. The variables may be influenced by the same factor, or one may influence the other, but does not cause the other. Factors that may need to be looked into for more context in order to make a better decision are promotions, seasonality, ads campaigns/ campaign quality, customer segment, product demand etc.</t>
  </si>
  <si>
    <t>The covariance is negative, these two variables move in opposite directions, but the relationship is not perfect and it also does not show the cause and effect. We may deduce that, as the delivery days increase or are longer the customer ratings are lower, but there's a posibility that when the delivery time is faster the customer rating may still be low or higher. Futher investigation would need to be done considering other factors that may have influence in this relationship, in order to make better decisions.</t>
  </si>
  <si>
    <t>Website Visitis and Revenue have a strong positive correlation and are strongly associated with higher revenue, and they move together in same 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</si>
</sst>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quot;$&quot;#,##0"/>
    <numFmt numFmtId="166" formatCode="_-* #,##0_-;\-* #,##0_-;_-* &quot;-&quot;??_-;_-@_-"/>
    <numFmt numFmtId="170" formatCode="0.0000"/>
    <numFmt numFmtId="171" formatCode="_-* #,##0.0_-;\-* #,##0.0_-;_-* &quot;-&quot;??_-;_-@_-"/>
  </numFmts>
  <fonts count="7">
    <font>
      <sz val="11"/>
      <color theme="1"/>
      <name val="Aptos Narrow"/>
      <family val="2"/>
      <scheme val="minor"/>
    </font>
    <font>
      <sz val="11"/>
      <color theme="1"/>
      <name val="Aptos Narrow"/>
      <family val="2"/>
      <scheme val="minor"/>
    </font>
    <font>
      <b/>
      <sz val="11"/>
      <color theme="1"/>
      <name val="Aptos Narrow"/>
      <family val="2"/>
      <scheme val="minor"/>
    </font>
    <font>
      <b/>
      <sz val="14"/>
      <color rgb="FFFFFFFF"/>
      <name val="Carlito"/>
    </font>
    <font>
      <b/>
      <sz val="11"/>
      <color rgb="FFFFFFFF"/>
      <name val="Carlito"/>
    </font>
    <font>
      <b/>
      <sz val="11"/>
      <name val="Carlito"/>
    </font>
    <font>
      <sz val="11"/>
      <name val="Carlito"/>
    </font>
  </fonts>
  <fills count="7">
    <fill>
      <patternFill patternType="none"/>
    </fill>
    <fill>
      <patternFill patternType="gray125"/>
    </fill>
    <fill>
      <patternFill patternType="solid">
        <fgColor rgb="FF17365D"/>
      </patternFill>
    </fill>
    <fill>
      <patternFill patternType="solid">
        <fgColor rgb="FF1F4E78"/>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7">
    <xf numFmtId="0" fontId="0" fillId="0" borderId="0" xfId="0"/>
    <xf numFmtId="0" fontId="0" fillId="0" borderId="0" xfId="0" applyAlignment="1">
      <alignment horizontal="right" vertical="center" wrapText="1"/>
    </xf>
    <xf numFmtId="9" fontId="0" fillId="0" borderId="0" xfId="0" applyNumberFormat="1" applyAlignment="1">
      <alignment horizontal="right" vertical="center" wrapText="1"/>
    </xf>
    <xf numFmtId="10" fontId="0" fillId="0" borderId="0" xfId="0" applyNumberFormat="1" applyAlignment="1">
      <alignment horizontal="right" vertical="center" wrapText="1"/>
    </xf>
    <xf numFmtId="0" fontId="2" fillId="0" borderId="0" xfId="0" applyFont="1" applyAlignment="1">
      <alignment horizontal="right" vertical="center"/>
    </xf>
    <xf numFmtId="165" fontId="0" fillId="0" borderId="0" xfId="0" applyNumberFormat="1" applyAlignment="1">
      <alignment horizontal="right" vertical="center" wrapText="1"/>
    </xf>
    <xf numFmtId="166" fontId="0" fillId="0" borderId="0" xfId="1" applyNumberFormat="1" applyFont="1" applyAlignment="1">
      <alignment horizontal="right" vertical="center" wrapText="1"/>
    </xf>
    <xf numFmtId="0" fontId="3" fillId="2" borderId="0" xfId="0" applyFont="1" applyFill="1" applyAlignment="1">
      <alignment horizontal="left" vertical="top"/>
    </xf>
    <xf numFmtId="0" fontId="3" fillId="2" borderId="0" xfId="0" applyFont="1" applyFill="1" applyAlignment="1">
      <alignment vertical="top" wrapText="1"/>
    </xf>
    <xf numFmtId="0" fontId="4" fillId="3" borderId="0" xfId="0" applyFont="1" applyFill="1" applyAlignment="1">
      <alignment horizontal="left" vertical="top" wrapText="1"/>
    </xf>
    <xf numFmtId="0" fontId="4" fillId="3" borderId="0" xfId="0" applyFont="1" applyFill="1" applyAlignment="1">
      <alignment horizontal="center" vertical="top" wrapText="1"/>
    </xf>
    <xf numFmtId="0" fontId="5" fillId="4" borderId="0" xfId="0" applyFont="1" applyFill="1" applyAlignment="1">
      <alignment vertical="top"/>
    </xf>
    <xf numFmtId="0" fontId="0" fillId="4" borderId="0" xfId="0" applyFill="1"/>
    <xf numFmtId="0" fontId="6" fillId="0" borderId="0" xfId="0" applyFont="1" applyAlignment="1">
      <alignment horizontal="right" vertical="top"/>
    </xf>
    <xf numFmtId="0" fontId="6" fillId="0" borderId="0" xfId="0" quotePrefix="1" applyFont="1" applyAlignment="1">
      <alignment vertical="top" wrapText="1"/>
    </xf>
    <xf numFmtId="0" fontId="0" fillId="0" borderId="0" xfId="0" applyAlignment="1">
      <alignment wrapText="1"/>
    </xf>
    <xf numFmtId="0" fontId="0" fillId="4" borderId="0" xfId="0" applyFill="1" applyAlignment="1">
      <alignment vertical="top"/>
    </xf>
    <xf numFmtId="0" fontId="0" fillId="0" borderId="0" xfId="0" applyAlignment="1">
      <alignment vertical="top"/>
    </xf>
    <xf numFmtId="164" fontId="0" fillId="0" borderId="0" xfId="1" applyFont="1" applyAlignment="1">
      <alignment vertical="top"/>
    </xf>
    <xf numFmtId="0" fontId="6" fillId="0" borderId="0" xfId="0" quotePrefix="1" applyFont="1" applyAlignment="1">
      <alignment horizontal="left" vertical="top" wrapText="1" indent="1"/>
    </xf>
    <xf numFmtId="0" fontId="0" fillId="0" borderId="0" xfId="0" applyAlignment="1">
      <alignment vertical="top" wrapText="1"/>
    </xf>
    <xf numFmtId="164" fontId="0" fillId="5" borderId="0" xfId="1" applyFont="1" applyFill="1" applyAlignment="1">
      <alignment vertical="top"/>
    </xf>
    <xf numFmtId="0" fontId="0" fillId="5" borderId="0" xfId="0" applyFill="1" applyAlignment="1">
      <alignment vertical="top"/>
    </xf>
    <xf numFmtId="0" fontId="0" fillId="5" borderId="0" xfId="0" applyFill="1" applyAlignment="1">
      <alignment vertical="top" wrapText="1"/>
    </xf>
    <xf numFmtId="170" fontId="0" fillId="5" borderId="0" xfId="0" applyNumberFormat="1" applyFill="1" applyAlignment="1">
      <alignment vertical="top"/>
    </xf>
    <xf numFmtId="171" fontId="0" fillId="5" borderId="0" xfId="1" applyNumberFormat="1" applyFont="1" applyFill="1" applyAlignment="1">
      <alignment vertical="top"/>
    </xf>
    <xf numFmtId="0" fontId="0" fillId="6" borderId="0" xfId="0" applyFill="1" applyAlignment="1">
      <alignment vertical="top"/>
    </xf>
  </cellXfs>
  <cellStyles count="2">
    <cellStyle name="Comma" xfId="1" builtinId="3"/>
    <cellStyle name="Normal" xfId="0" builtinId="0"/>
  </cellStyles>
  <dxfs count="11">
    <dxf>
      <alignment horizontal="right" vertical="center" textRotation="0" wrapText="1" indent="0" justifyLastLine="0" shrinkToFit="0" readingOrder="0"/>
    </dxf>
    <dxf>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65" formatCode="&quot;$&quot;#,##0"/>
      <alignment horizontal="right" vertical="center" textRotation="0" wrapText="1" indent="0" justifyLastLine="0" shrinkToFit="0" readingOrder="0"/>
    </dxf>
    <dxf>
      <numFmt numFmtId="13" formatCode="0%"/>
      <alignment horizontal="right" vertical="center" textRotation="0" wrapText="1" indent="0" justifyLastLine="0" shrinkToFit="0" readingOrder="0"/>
    </dxf>
    <dxf>
      <numFmt numFmtId="166" formatCode="_-* #,##0_-;\-* #,##0_-;_-* &quot;-&quot;??_-;_-@_-"/>
      <alignment horizontal="right" vertical="center" textRotation="0" wrapText="1" indent="0" justifyLastLine="0" shrinkToFit="0" readingOrder="0"/>
    </dxf>
    <dxf>
      <numFmt numFmtId="166" formatCode="_-* #,##0_-;\-* #,##0_-;_-* &quot;-&quot;??_-;_-@_-"/>
      <alignment horizontal="right" vertical="center" textRotation="0" wrapText="1" indent="0" justifyLastLine="0" shrinkToFit="0" readingOrder="0"/>
    </dxf>
    <dxf>
      <numFmt numFmtId="165" formatCode="&quot;$&quot;#,##0"/>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0" indent="0" justifyLastLine="0" shrinkToFit="0" readingOrder="0"/>
    </dxf>
  </dxfs>
  <tableStyles count="0" defaultTableStyle="TableStyleMedium2" defaultPivotStyle="PivotStyleLight16"/>
  <colors>
    <mruColors>
      <color rgb="FFC854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Ad Spend v Revenue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Data!$F$1</c:f>
              <c:strCache>
                <c:ptCount val="1"/>
                <c:pt idx="0">
                  <c:v>Revenue</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trendline>
            <c:spPr>
              <a:ln w="15875" cap="rnd">
                <a:solidFill>
                  <a:schemeClr val="accent1"/>
                </a:solidFill>
              </a:ln>
              <a:effectLst/>
            </c:spPr>
            <c:trendlineType val="linear"/>
            <c:dispRSqr val="0"/>
            <c:dispEq val="0"/>
          </c:trendline>
          <c:trendline>
            <c:spPr>
              <a:ln w="15875" cap="flat">
                <a:solidFill>
                  <a:srgbClr val="C8547D"/>
                </a:solidFill>
                <a:bevel/>
                <a:headEnd type="oval"/>
                <a:tailEnd type="stealth"/>
              </a:ln>
              <a:effectLst/>
            </c:spPr>
            <c:trendlineType val="linear"/>
            <c:dispRSqr val="0"/>
            <c:dispEq val="0"/>
          </c:trendline>
          <c:trendline>
            <c:spPr>
              <a:ln w="15875" cap="rnd">
                <a:solidFill>
                  <a:schemeClr val="accent3"/>
                </a:solidFill>
                <a:headEnd type="oval"/>
                <a:tailEnd type="arrow" w="sm" len="med"/>
              </a:ln>
              <a:effectLst/>
            </c:spPr>
            <c:trendlineType val="linear"/>
            <c:dispRSqr val="0"/>
            <c:dispEq val="0"/>
          </c:trendline>
          <c:xVal>
            <c:numRef>
              <c:f>Data!$B$2:$B$25</c:f>
              <c:numCache>
                <c:formatCode>"$"#,##0</c:formatCode>
                <c:ptCount val="24"/>
                <c:pt idx="0">
                  <c:v>4200</c:v>
                </c:pt>
                <c:pt idx="1">
                  <c:v>3800</c:v>
                </c:pt>
                <c:pt idx="2">
                  <c:v>5100</c:v>
                </c:pt>
                <c:pt idx="3">
                  <c:v>4700</c:v>
                </c:pt>
                <c:pt idx="4">
                  <c:v>5600</c:v>
                </c:pt>
                <c:pt idx="5">
                  <c:v>6100</c:v>
                </c:pt>
                <c:pt idx="6">
                  <c:v>5900</c:v>
                </c:pt>
                <c:pt idx="7">
                  <c:v>6400</c:v>
                </c:pt>
                <c:pt idx="8">
                  <c:v>7000</c:v>
                </c:pt>
                <c:pt idx="9">
                  <c:v>6800</c:v>
                </c:pt>
                <c:pt idx="10">
                  <c:v>7600</c:v>
                </c:pt>
                <c:pt idx="11">
                  <c:v>8200</c:v>
                </c:pt>
                <c:pt idx="12">
                  <c:v>7900</c:v>
                </c:pt>
                <c:pt idx="13">
                  <c:v>8500</c:v>
                </c:pt>
                <c:pt idx="14">
                  <c:v>9000</c:v>
                </c:pt>
                <c:pt idx="15">
                  <c:v>8800</c:v>
                </c:pt>
                <c:pt idx="16">
                  <c:v>9400</c:v>
                </c:pt>
                <c:pt idx="17">
                  <c:v>9900</c:v>
                </c:pt>
                <c:pt idx="18">
                  <c:v>10300</c:v>
                </c:pt>
                <c:pt idx="19">
                  <c:v>10100</c:v>
                </c:pt>
                <c:pt idx="20">
                  <c:v>10800</c:v>
                </c:pt>
                <c:pt idx="21">
                  <c:v>11200</c:v>
                </c:pt>
                <c:pt idx="22">
                  <c:v>11700</c:v>
                </c:pt>
                <c:pt idx="23">
                  <c:v>12100</c:v>
                </c:pt>
              </c:numCache>
            </c:numRef>
          </c:xVal>
          <c:yVal>
            <c:numRef>
              <c:f>Data!$F$2:$F$25</c:f>
              <c:numCache>
                <c:formatCode>"$"#,##0</c:formatCode>
                <c:ptCount val="24"/>
                <c:pt idx="0">
                  <c:v>66364</c:v>
                </c:pt>
                <c:pt idx="1">
                  <c:v>58686</c:v>
                </c:pt>
                <c:pt idx="2">
                  <c:v>80683</c:v>
                </c:pt>
                <c:pt idx="3">
                  <c:v>72854</c:v>
                </c:pt>
                <c:pt idx="4">
                  <c:v>85702</c:v>
                </c:pt>
                <c:pt idx="5">
                  <c:v>101117</c:v>
                </c:pt>
                <c:pt idx="6">
                  <c:v>88647</c:v>
                </c:pt>
                <c:pt idx="7">
                  <c:v>106087</c:v>
                </c:pt>
                <c:pt idx="8">
                  <c:v>109940</c:v>
                </c:pt>
                <c:pt idx="9">
                  <c:v>104351</c:v>
                </c:pt>
                <c:pt idx="10">
                  <c:v>124873</c:v>
                </c:pt>
                <c:pt idx="11">
                  <c:v>128884</c:v>
                </c:pt>
                <c:pt idx="12">
                  <c:v>122398</c:v>
                </c:pt>
                <c:pt idx="13">
                  <c:v>130805</c:v>
                </c:pt>
                <c:pt idx="14">
                  <c:v>148601</c:v>
                </c:pt>
                <c:pt idx="15">
                  <c:v>132632</c:v>
                </c:pt>
                <c:pt idx="16">
                  <c:v>147329</c:v>
                </c:pt>
                <c:pt idx="17">
                  <c:v>159173</c:v>
                </c:pt>
                <c:pt idx="18">
                  <c:v>156540</c:v>
                </c:pt>
                <c:pt idx="19">
                  <c:v>158105</c:v>
                </c:pt>
                <c:pt idx="20">
                  <c:v>175535</c:v>
                </c:pt>
                <c:pt idx="21">
                  <c:v>170806</c:v>
                </c:pt>
                <c:pt idx="22">
                  <c:v>182204</c:v>
                </c:pt>
                <c:pt idx="23">
                  <c:v>194147</c:v>
                </c:pt>
              </c:numCache>
            </c:numRef>
          </c:yVal>
          <c:smooth val="0"/>
          <c:extLst>
            <c:ext xmlns:c16="http://schemas.microsoft.com/office/drawing/2014/chart" uri="{C3380CC4-5D6E-409C-BE32-E72D297353CC}">
              <c16:uniqueId val="{00000000-D803-44BE-AC94-9314F012A364}"/>
            </c:ext>
          </c:extLst>
        </c:ser>
        <c:dLbls>
          <c:showLegendKey val="0"/>
          <c:showVal val="0"/>
          <c:showCatName val="0"/>
          <c:showSerName val="0"/>
          <c:showPercent val="0"/>
          <c:showBubbleSize val="0"/>
        </c:dLbls>
        <c:axId val="1603966976"/>
        <c:axId val="1603967456"/>
      </c:scatterChart>
      <c:valAx>
        <c:axId val="160396697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Ad Spend</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03967456"/>
        <c:crosses val="autoZero"/>
        <c:crossBetween val="midCat"/>
      </c:valAx>
      <c:valAx>
        <c:axId val="16039674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03966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Delivery Days v Customer Rating</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Data!$I$1</c:f>
              <c:strCache>
                <c:ptCount val="1"/>
                <c:pt idx="0">
                  <c:v>Customer Rating</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trendline>
            <c:spPr>
              <a:ln w="15875" cap="rnd">
                <a:solidFill>
                  <a:srgbClr val="C8547D"/>
                </a:solidFill>
                <a:headEnd type="oval"/>
                <a:tailEnd type="stealth"/>
              </a:ln>
              <a:effectLst/>
            </c:spPr>
            <c:trendlineType val="linear"/>
            <c:dispRSqr val="0"/>
            <c:dispEq val="0"/>
          </c:trendline>
          <c:xVal>
            <c:numRef>
              <c:f>Data!$H$2:$H$25</c:f>
              <c:numCache>
                <c:formatCode>General</c:formatCode>
                <c:ptCount val="24"/>
                <c:pt idx="0">
                  <c:v>3.1</c:v>
                </c:pt>
                <c:pt idx="1">
                  <c:v>3.6</c:v>
                </c:pt>
                <c:pt idx="2">
                  <c:v>2.9</c:v>
                </c:pt>
                <c:pt idx="3">
                  <c:v>4.2</c:v>
                </c:pt>
                <c:pt idx="4">
                  <c:v>3.4</c:v>
                </c:pt>
                <c:pt idx="5">
                  <c:v>4.5</c:v>
                </c:pt>
                <c:pt idx="6">
                  <c:v>3.8</c:v>
                </c:pt>
                <c:pt idx="7">
                  <c:v>5</c:v>
                </c:pt>
                <c:pt idx="8">
                  <c:v>4.0999999999999996</c:v>
                </c:pt>
                <c:pt idx="9">
                  <c:v>4.7</c:v>
                </c:pt>
                <c:pt idx="10">
                  <c:v>5.3</c:v>
                </c:pt>
                <c:pt idx="11">
                  <c:v>4.4000000000000004</c:v>
                </c:pt>
                <c:pt idx="12">
                  <c:v>5.8</c:v>
                </c:pt>
                <c:pt idx="13">
                  <c:v>4</c:v>
                </c:pt>
                <c:pt idx="14">
                  <c:v>6.1</c:v>
                </c:pt>
                <c:pt idx="15">
                  <c:v>5.5</c:v>
                </c:pt>
                <c:pt idx="16">
                  <c:v>4.8</c:v>
                </c:pt>
                <c:pt idx="17">
                  <c:v>6.4</c:v>
                </c:pt>
                <c:pt idx="18">
                  <c:v>5.9</c:v>
                </c:pt>
                <c:pt idx="19">
                  <c:v>5.2</c:v>
                </c:pt>
                <c:pt idx="20">
                  <c:v>6.7</c:v>
                </c:pt>
                <c:pt idx="21">
                  <c:v>6</c:v>
                </c:pt>
                <c:pt idx="22">
                  <c:v>5.6</c:v>
                </c:pt>
                <c:pt idx="23">
                  <c:v>7.1</c:v>
                </c:pt>
              </c:numCache>
            </c:numRef>
          </c:xVal>
          <c:yVal>
            <c:numRef>
              <c:f>Data!$I$2:$I$25</c:f>
              <c:numCache>
                <c:formatCode>General</c:formatCode>
                <c:ptCount val="24"/>
                <c:pt idx="0">
                  <c:v>3.9</c:v>
                </c:pt>
                <c:pt idx="1">
                  <c:v>3.6</c:v>
                </c:pt>
                <c:pt idx="2">
                  <c:v>4.0999999999999996</c:v>
                </c:pt>
                <c:pt idx="3">
                  <c:v>3.3</c:v>
                </c:pt>
                <c:pt idx="4">
                  <c:v>3.8</c:v>
                </c:pt>
                <c:pt idx="5">
                  <c:v>3.1</c:v>
                </c:pt>
                <c:pt idx="6">
                  <c:v>3.6</c:v>
                </c:pt>
                <c:pt idx="7">
                  <c:v>2.9</c:v>
                </c:pt>
                <c:pt idx="8">
                  <c:v>3.5</c:v>
                </c:pt>
                <c:pt idx="9">
                  <c:v>3.1</c:v>
                </c:pt>
                <c:pt idx="10">
                  <c:v>2.8</c:v>
                </c:pt>
                <c:pt idx="11">
                  <c:v>3.3</c:v>
                </c:pt>
                <c:pt idx="12">
                  <c:v>2.5</c:v>
                </c:pt>
                <c:pt idx="13">
                  <c:v>3.6</c:v>
                </c:pt>
                <c:pt idx="14">
                  <c:v>2.4</c:v>
                </c:pt>
                <c:pt idx="15">
                  <c:v>2.8</c:v>
                </c:pt>
                <c:pt idx="16">
                  <c:v>3.1</c:v>
                </c:pt>
                <c:pt idx="17">
                  <c:v>2.2000000000000002</c:v>
                </c:pt>
                <c:pt idx="18">
                  <c:v>2.6</c:v>
                </c:pt>
                <c:pt idx="19">
                  <c:v>3</c:v>
                </c:pt>
                <c:pt idx="20">
                  <c:v>2.1</c:v>
                </c:pt>
                <c:pt idx="21">
                  <c:v>2.6</c:v>
                </c:pt>
                <c:pt idx="22">
                  <c:v>2.9</c:v>
                </c:pt>
                <c:pt idx="23">
                  <c:v>1.9</c:v>
                </c:pt>
              </c:numCache>
            </c:numRef>
          </c:yVal>
          <c:smooth val="0"/>
          <c:extLst>
            <c:ext xmlns:c16="http://schemas.microsoft.com/office/drawing/2014/chart" uri="{C3380CC4-5D6E-409C-BE32-E72D297353CC}">
              <c16:uniqueId val="{00000000-CDC5-4C4A-84E8-9A52898229E0}"/>
            </c:ext>
          </c:extLst>
        </c:ser>
        <c:dLbls>
          <c:showLegendKey val="0"/>
          <c:showVal val="0"/>
          <c:showCatName val="0"/>
          <c:showSerName val="0"/>
          <c:showPercent val="0"/>
          <c:showBubbleSize val="0"/>
        </c:dLbls>
        <c:axId val="1740557824"/>
        <c:axId val="1740556384"/>
      </c:scatterChart>
      <c:valAx>
        <c:axId val="17405578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Delivey Days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40556384"/>
        <c:crosses val="autoZero"/>
        <c:crossBetween val="midCat"/>
      </c:valAx>
      <c:valAx>
        <c:axId val="174055638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Customer Rating</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40557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Website Visits v Revenue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Data!$F$1</c:f>
              <c:strCache>
                <c:ptCount val="1"/>
                <c:pt idx="0">
                  <c:v>Revenue</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trendline>
            <c:spPr>
              <a:ln w="15875" cap="rnd">
                <a:solidFill>
                  <a:schemeClr val="accent3"/>
                </a:solidFill>
                <a:tailEnd type="stealth"/>
              </a:ln>
              <a:effectLst/>
            </c:spPr>
            <c:trendlineType val="linear"/>
            <c:dispRSqr val="0"/>
            <c:dispEq val="0"/>
          </c:trendline>
          <c:xVal>
            <c:numRef>
              <c:f>Data!$C$2:$C$25</c:f>
              <c:numCache>
                <c:formatCode>_-* #,##0_-;\-* #,##0_-;_-* "-"??_-;_-@_-</c:formatCode>
                <c:ptCount val="24"/>
                <c:pt idx="0">
                  <c:v>9330</c:v>
                </c:pt>
                <c:pt idx="1">
                  <c:v>7920</c:v>
                </c:pt>
                <c:pt idx="2">
                  <c:v>11385</c:v>
                </c:pt>
                <c:pt idx="3">
                  <c:v>10005</c:v>
                </c:pt>
                <c:pt idx="4">
                  <c:v>12190</c:v>
                </c:pt>
                <c:pt idx="5">
                  <c:v>13615</c:v>
                </c:pt>
                <c:pt idx="6">
                  <c:v>12465</c:v>
                </c:pt>
                <c:pt idx="7">
                  <c:v>14140</c:v>
                </c:pt>
                <c:pt idx="8">
                  <c:v>15300</c:v>
                </c:pt>
                <c:pt idx="9">
                  <c:v>14470</c:v>
                </c:pt>
                <c:pt idx="10">
                  <c:v>16810</c:v>
                </c:pt>
                <c:pt idx="11">
                  <c:v>17980</c:v>
                </c:pt>
                <c:pt idx="12">
                  <c:v>16685</c:v>
                </c:pt>
                <c:pt idx="13">
                  <c:v>18475</c:v>
                </c:pt>
                <c:pt idx="14">
                  <c:v>19970</c:v>
                </c:pt>
                <c:pt idx="15">
                  <c:v>18440</c:v>
                </c:pt>
                <c:pt idx="16">
                  <c:v>20630</c:v>
                </c:pt>
                <c:pt idx="17">
                  <c:v>21585</c:v>
                </c:pt>
                <c:pt idx="18">
                  <c:v>21925</c:v>
                </c:pt>
                <c:pt idx="19">
                  <c:v>21975</c:v>
                </c:pt>
                <c:pt idx="20">
                  <c:v>23700</c:v>
                </c:pt>
                <c:pt idx="21">
                  <c:v>23920</c:v>
                </c:pt>
                <c:pt idx="22">
                  <c:v>25505</c:v>
                </c:pt>
                <c:pt idx="23">
                  <c:v>26565</c:v>
                </c:pt>
              </c:numCache>
            </c:numRef>
          </c:xVal>
          <c:yVal>
            <c:numRef>
              <c:f>Data!$F$2:$F$25</c:f>
              <c:numCache>
                <c:formatCode>"$"#,##0</c:formatCode>
                <c:ptCount val="24"/>
                <c:pt idx="0">
                  <c:v>66364</c:v>
                </c:pt>
                <c:pt idx="1">
                  <c:v>58686</c:v>
                </c:pt>
                <c:pt idx="2">
                  <c:v>80683</c:v>
                </c:pt>
                <c:pt idx="3">
                  <c:v>72854</c:v>
                </c:pt>
                <c:pt idx="4">
                  <c:v>85702</c:v>
                </c:pt>
                <c:pt idx="5">
                  <c:v>101117</c:v>
                </c:pt>
                <c:pt idx="6">
                  <c:v>88647</c:v>
                </c:pt>
                <c:pt idx="7">
                  <c:v>106087</c:v>
                </c:pt>
                <c:pt idx="8">
                  <c:v>109940</c:v>
                </c:pt>
                <c:pt idx="9">
                  <c:v>104351</c:v>
                </c:pt>
                <c:pt idx="10">
                  <c:v>124873</c:v>
                </c:pt>
                <c:pt idx="11">
                  <c:v>128884</c:v>
                </c:pt>
                <c:pt idx="12">
                  <c:v>122398</c:v>
                </c:pt>
                <c:pt idx="13">
                  <c:v>130805</c:v>
                </c:pt>
                <c:pt idx="14">
                  <c:v>148601</c:v>
                </c:pt>
                <c:pt idx="15">
                  <c:v>132632</c:v>
                </c:pt>
                <c:pt idx="16">
                  <c:v>147329</c:v>
                </c:pt>
                <c:pt idx="17">
                  <c:v>159173</c:v>
                </c:pt>
                <c:pt idx="18">
                  <c:v>156540</c:v>
                </c:pt>
                <c:pt idx="19">
                  <c:v>158105</c:v>
                </c:pt>
                <c:pt idx="20">
                  <c:v>175535</c:v>
                </c:pt>
                <c:pt idx="21">
                  <c:v>170806</c:v>
                </c:pt>
                <c:pt idx="22">
                  <c:v>182204</c:v>
                </c:pt>
                <c:pt idx="23">
                  <c:v>194147</c:v>
                </c:pt>
              </c:numCache>
            </c:numRef>
          </c:yVal>
          <c:smooth val="0"/>
          <c:extLst>
            <c:ext xmlns:c16="http://schemas.microsoft.com/office/drawing/2014/chart" uri="{C3380CC4-5D6E-409C-BE32-E72D297353CC}">
              <c16:uniqueId val="{00000000-64AC-49E1-8BFC-10672777BD77}"/>
            </c:ext>
          </c:extLst>
        </c:ser>
        <c:dLbls>
          <c:showLegendKey val="0"/>
          <c:showVal val="0"/>
          <c:showCatName val="0"/>
          <c:showSerName val="0"/>
          <c:showPercent val="0"/>
          <c:showBubbleSize val="0"/>
        </c:dLbls>
        <c:axId val="1905588560"/>
        <c:axId val="1905598640"/>
      </c:scatterChart>
      <c:valAx>
        <c:axId val="190558856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Website Visits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05598640"/>
        <c:crosses val="autoZero"/>
        <c:crossBetween val="midCat"/>
      </c:valAx>
      <c:valAx>
        <c:axId val="190559864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05588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358741</xdr:colOff>
      <xdr:row>0</xdr:row>
      <xdr:rowOff>214312</xdr:rowOff>
    </xdr:from>
    <xdr:to>
      <xdr:col>14</xdr:col>
      <xdr:colOff>524392</xdr:colOff>
      <xdr:row>11</xdr:row>
      <xdr:rowOff>15529</xdr:rowOff>
    </xdr:to>
    <xdr:graphicFrame macro="">
      <xdr:nvGraphicFramePr>
        <xdr:cNvPr id="2" name="Chart 1">
          <a:extLst>
            <a:ext uri="{FF2B5EF4-FFF2-40B4-BE49-F238E27FC236}">
              <a16:creationId xmlns:a16="http://schemas.microsoft.com/office/drawing/2014/main" id="{1E76E2F8-DB85-4836-B253-768DC43F9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475165</xdr:colOff>
      <xdr:row>11</xdr:row>
      <xdr:rowOff>107155</xdr:rowOff>
    </xdr:from>
    <xdr:to>
      <xdr:col>15</xdr:col>
      <xdr:colOff>47624</xdr:colOff>
      <xdr:row>20</xdr:row>
      <xdr:rowOff>119061</xdr:rowOff>
    </xdr:to>
    <xdr:graphicFrame macro="">
      <xdr:nvGraphicFramePr>
        <xdr:cNvPr id="3" name="Chart 2">
          <a:extLst>
            <a:ext uri="{FF2B5EF4-FFF2-40B4-BE49-F238E27FC236}">
              <a16:creationId xmlns:a16="http://schemas.microsoft.com/office/drawing/2014/main" id="{5D885B37-C8EC-4538-A434-C89450E05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22</xdr:row>
      <xdr:rowOff>0</xdr:rowOff>
    </xdr:from>
    <xdr:to>
      <xdr:col>16</xdr:col>
      <xdr:colOff>154781</xdr:colOff>
      <xdr:row>32</xdr:row>
      <xdr:rowOff>154781</xdr:rowOff>
    </xdr:to>
    <xdr:graphicFrame macro="">
      <xdr:nvGraphicFramePr>
        <xdr:cNvPr id="5" name="Chart 4">
          <a:extLst>
            <a:ext uri="{FF2B5EF4-FFF2-40B4-BE49-F238E27FC236}">
              <a16:creationId xmlns:a16="http://schemas.microsoft.com/office/drawing/2014/main" id="{383FF147-4877-4947-845B-CA1CA1B7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E232C1-06C6-4DBC-B08C-0C1E85E40FF7}" name="Campaigns" displayName="Campaigns" ref="A1:I25" totalsRowShown="0" headerRowDxfId="10" dataDxfId="9">
  <autoFilter ref="A1:I25" xr:uid="{CDE232C1-06C6-4DBC-B08C-0C1E85E40F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350069E-B1A6-42DE-960D-EF640D2D4DE2}" name="Week" dataDxfId="8"/>
    <tableColumn id="2" xr3:uid="{DDD0D499-F484-4DEE-8D36-6C5DAFA537AA}" name="Ad Spend" dataDxfId="7"/>
    <tableColumn id="3" xr3:uid="{B278F8FE-3A78-4C7B-BB17-5ED36F5F4F15}" name="Website Visits" dataDxfId="6" dataCellStyle="Comma"/>
    <tableColumn id="4" xr3:uid="{258E3223-866D-4E89-A080-D09CD50C32EA}" name="Email Sends" dataDxfId="5" dataCellStyle="Comma"/>
    <tableColumn id="5" xr3:uid="{B823160B-177C-464D-A80C-04979D6DB285}" name="Discount Rate" dataDxfId="4"/>
    <tableColumn id="6" xr3:uid="{19BDB0E7-23F4-4893-B77B-F1A54D6C5028}" name="Revenue" dataDxfId="3"/>
    <tableColumn id="7" xr3:uid="{8229B40F-D6AD-417E-9789-D3F495083CB2}" name="Gross Margin" dataDxfId="2"/>
    <tableColumn id="8" xr3:uid="{F5372EB0-0BB8-4018-950F-9573E6D79C5D}" name="Delivery Days" dataDxfId="1"/>
    <tableColumn id="9" xr3:uid="{40097F9C-B0CB-4D30-A299-5CD37173B70C}" name="Customer 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05277-8F58-4564-A42B-C22188DBF762}">
  <dimension ref="A1:I25"/>
  <sheetViews>
    <sheetView zoomScale="130" zoomScaleNormal="130" workbookViewId="0">
      <selection activeCell="F1" activeCellId="1" sqref="C1:C1048576 F1:F1048576"/>
    </sheetView>
  </sheetViews>
  <sheetFormatPr defaultRowHeight="15"/>
  <cols>
    <col min="1" max="1" width="8.28515625" customWidth="1"/>
    <col min="2" max="2" width="11.5703125" customWidth="1"/>
    <col min="3" max="3" width="16.140625" customWidth="1"/>
    <col min="4" max="4" width="14.140625" customWidth="1"/>
    <col min="5" max="5" width="15.85546875" customWidth="1"/>
    <col min="6" max="6" width="11.140625" customWidth="1"/>
    <col min="7" max="7" width="14.85546875" customWidth="1"/>
    <col min="8" max="8" width="15.5703125" customWidth="1"/>
    <col min="9" max="9" width="18.28515625" customWidth="1"/>
    <col min="11" max="11" width="10.85546875" bestFit="1" customWidth="1"/>
    <col min="12" max="12" width="16.5703125" bestFit="1" customWidth="1"/>
  </cols>
  <sheetData>
    <row r="1" spans="1:9">
      <c r="A1" s="4" t="s">
        <v>0</v>
      </c>
      <c r="B1" s="4" t="s">
        <v>1</v>
      </c>
      <c r="C1" s="4" t="s">
        <v>2</v>
      </c>
      <c r="D1" s="4" t="s">
        <v>3</v>
      </c>
      <c r="E1" s="4" t="s">
        <v>4</v>
      </c>
      <c r="F1" s="4" t="s">
        <v>5</v>
      </c>
      <c r="G1" s="4" t="s">
        <v>6</v>
      </c>
      <c r="H1" s="4" t="s">
        <v>7</v>
      </c>
      <c r="I1" s="4" t="s">
        <v>8</v>
      </c>
    </row>
    <row r="2" spans="1:9">
      <c r="A2" s="1">
        <v>1</v>
      </c>
      <c r="B2" s="5">
        <v>4200</v>
      </c>
      <c r="C2" s="6">
        <v>9330</v>
      </c>
      <c r="D2" s="6">
        <v>18000</v>
      </c>
      <c r="E2" s="2">
        <v>0.05</v>
      </c>
      <c r="F2" s="5">
        <v>66364</v>
      </c>
      <c r="G2" s="3">
        <v>0.41599999999999998</v>
      </c>
      <c r="H2" s="1">
        <v>3.1</v>
      </c>
      <c r="I2" s="1">
        <v>3.9</v>
      </c>
    </row>
    <row r="3" spans="1:9">
      <c r="A3" s="1">
        <v>2</v>
      </c>
      <c r="B3" s="5">
        <v>3800</v>
      </c>
      <c r="C3" s="6">
        <v>7920</v>
      </c>
      <c r="D3" s="6">
        <v>17000</v>
      </c>
      <c r="E3" s="2">
        <v>0.08</v>
      </c>
      <c r="F3" s="5">
        <v>58686</v>
      </c>
      <c r="G3" s="3">
        <v>0.378</v>
      </c>
      <c r="H3" s="1">
        <v>3.6</v>
      </c>
      <c r="I3" s="1">
        <v>3.6</v>
      </c>
    </row>
    <row r="4" spans="1:9">
      <c r="A4" s="1">
        <v>3</v>
      </c>
      <c r="B4" s="5">
        <v>5100</v>
      </c>
      <c r="C4" s="6">
        <v>11385</v>
      </c>
      <c r="D4" s="6">
        <v>21000</v>
      </c>
      <c r="E4" s="2">
        <v>0.06</v>
      </c>
      <c r="F4" s="5">
        <v>80683</v>
      </c>
      <c r="G4" s="3">
        <v>0.40500000000000003</v>
      </c>
      <c r="H4" s="1">
        <v>2.9</v>
      </c>
      <c r="I4" s="1">
        <v>4.0999999999999996</v>
      </c>
    </row>
    <row r="5" spans="1:9">
      <c r="A5" s="1">
        <v>4</v>
      </c>
      <c r="B5" s="5">
        <v>4700</v>
      </c>
      <c r="C5" s="6">
        <v>10005</v>
      </c>
      <c r="D5" s="6">
        <v>19500</v>
      </c>
      <c r="E5" s="2">
        <v>0.1</v>
      </c>
      <c r="F5" s="5">
        <v>72854</v>
      </c>
      <c r="G5" s="3">
        <v>0.35899999999999999</v>
      </c>
      <c r="H5" s="1">
        <v>4.2</v>
      </c>
      <c r="I5" s="1">
        <v>3.3</v>
      </c>
    </row>
    <row r="6" spans="1:9">
      <c r="A6" s="1">
        <v>5</v>
      </c>
      <c r="B6" s="5">
        <v>5600</v>
      </c>
      <c r="C6" s="6">
        <v>12190</v>
      </c>
      <c r="D6" s="6">
        <v>23000</v>
      </c>
      <c r="E6" s="2">
        <v>7.0000000000000007E-2</v>
      </c>
      <c r="F6" s="5">
        <v>85702</v>
      </c>
      <c r="G6" s="3">
        <v>0.39300000000000002</v>
      </c>
      <c r="H6" s="1">
        <v>3.4</v>
      </c>
      <c r="I6" s="1">
        <v>3.8</v>
      </c>
    </row>
    <row r="7" spans="1:9">
      <c r="A7" s="1">
        <v>6</v>
      </c>
      <c r="B7" s="5">
        <v>6100</v>
      </c>
      <c r="C7" s="6">
        <v>13615</v>
      </c>
      <c r="D7" s="6">
        <v>25000</v>
      </c>
      <c r="E7" s="2">
        <v>0.12</v>
      </c>
      <c r="F7" s="5">
        <v>101117</v>
      </c>
      <c r="G7" s="3">
        <v>0.34300000000000003</v>
      </c>
      <c r="H7" s="1">
        <v>4.5</v>
      </c>
      <c r="I7" s="1">
        <v>3.1</v>
      </c>
    </row>
    <row r="8" spans="1:9">
      <c r="A8" s="1">
        <v>7</v>
      </c>
      <c r="B8" s="5">
        <v>5900</v>
      </c>
      <c r="C8" s="6">
        <v>12465</v>
      </c>
      <c r="D8" s="6">
        <v>24000</v>
      </c>
      <c r="E8" s="2">
        <v>0.09</v>
      </c>
      <c r="F8" s="5">
        <v>88647</v>
      </c>
      <c r="G8" s="3">
        <v>0.377</v>
      </c>
      <c r="H8" s="1">
        <v>3.8</v>
      </c>
      <c r="I8" s="1">
        <v>3.6</v>
      </c>
    </row>
    <row r="9" spans="1:9">
      <c r="A9" s="1">
        <v>8</v>
      </c>
      <c r="B9" s="5">
        <v>6400</v>
      </c>
      <c r="C9" s="6">
        <v>14140</v>
      </c>
      <c r="D9" s="6">
        <v>25500</v>
      </c>
      <c r="E9" s="2">
        <v>0.15</v>
      </c>
      <c r="F9" s="5">
        <v>106087</v>
      </c>
      <c r="G9" s="3">
        <v>0.318</v>
      </c>
      <c r="H9" s="1">
        <v>5</v>
      </c>
      <c r="I9" s="1">
        <v>2.9</v>
      </c>
    </row>
    <row r="10" spans="1:9">
      <c r="A10" s="1">
        <v>9</v>
      </c>
      <c r="B10" s="5">
        <v>7000</v>
      </c>
      <c r="C10" s="6">
        <v>15300</v>
      </c>
      <c r="D10" s="6">
        <v>27000</v>
      </c>
      <c r="E10" s="2">
        <v>0.11</v>
      </c>
      <c r="F10" s="5">
        <v>109940</v>
      </c>
      <c r="G10" s="3">
        <v>0.35599999999999998</v>
      </c>
      <c r="H10" s="1">
        <v>4.0999999999999996</v>
      </c>
      <c r="I10" s="1">
        <v>3.5</v>
      </c>
    </row>
    <row r="11" spans="1:9">
      <c r="A11" s="1">
        <v>10</v>
      </c>
      <c r="B11" s="5">
        <v>6800</v>
      </c>
      <c r="C11" s="6">
        <v>14470</v>
      </c>
      <c r="D11" s="6">
        <v>26500</v>
      </c>
      <c r="E11" s="2">
        <v>0.13</v>
      </c>
      <c r="F11" s="5">
        <v>104351</v>
      </c>
      <c r="G11" s="3">
        <v>0.33700000000000002</v>
      </c>
      <c r="H11" s="1">
        <v>4.7</v>
      </c>
      <c r="I11" s="1">
        <v>3.1</v>
      </c>
    </row>
    <row r="12" spans="1:9">
      <c r="A12" s="1">
        <v>11</v>
      </c>
      <c r="B12" s="5">
        <v>7600</v>
      </c>
      <c r="C12" s="6">
        <v>16810</v>
      </c>
      <c r="D12" s="6">
        <v>28500</v>
      </c>
      <c r="E12" s="2">
        <v>0.16</v>
      </c>
      <c r="F12" s="5">
        <v>124873</v>
      </c>
      <c r="G12" s="3">
        <v>0.309</v>
      </c>
      <c r="H12" s="1">
        <v>5.3</v>
      </c>
      <c r="I12" s="1">
        <v>2.8</v>
      </c>
    </row>
    <row r="13" spans="1:9">
      <c r="A13" s="1">
        <v>12</v>
      </c>
      <c r="B13" s="5">
        <v>8200</v>
      </c>
      <c r="C13" s="6">
        <v>17980</v>
      </c>
      <c r="D13" s="6">
        <v>30000</v>
      </c>
      <c r="E13" s="2">
        <v>0.14000000000000001</v>
      </c>
      <c r="F13" s="5">
        <v>128884</v>
      </c>
      <c r="G13" s="3">
        <v>0.34</v>
      </c>
      <c r="H13" s="1">
        <v>4.4000000000000004</v>
      </c>
      <c r="I13" s="1">
        <v>3.3</v>
      </c>
    </row>
    <row r="14" spans="1:9">
      <c r="A14" s="1">
        <v>13</v>
      </c>
      <c r="B14" s="5">
        <v>7900</v>
      </c>
      <c r="C14" s="6">
        <v>16685</v>
      </c>
      <c r="D14" s="6">
        <v>29500</v>
      </c>
      <c r="E14" s="2">
        <v>0.18</v>
      </c>
      <c r="F14" s="5">
        <v>122398</v>
      </c>
      <c r="G14" s="3">
        <v>0.29199999999999998</v>
      </c>
      <c r="H14" s="1">
        <v>5.8</v>
      </c>
      <c r="I14" s="1">
        <v>2.5</v>
      </c>
    </row>
    <row r="15" spans="1:9">
      <c r="A15" s="1">
        <v>14</v>
      </c>
      <c r="B15" s="5">
        <v>8500</v>
      </c>
      <c r="C15" s="6">
        <v>18475</v>
      </c>
      <c r="D15" s="6">
        <v>31000</v>
      </c>
      <c r="E15" s="2">
        <v>0.12</v>
      </c>
      <c r="F15" s="5">
        <v>130805</v>
      </c>
      <c r="G15" s="3">
        <v>0.36099999999999999</v>
      </c>
      <c r="H15" s="1">
        <v>4</v>
      </c>
      <c r="I15" s="1">
        <v>3.6</v>
      </c>
    </row>
    <row r="16" spans="1:9">
      <c r="A16" s="1">
        <v>15</v>
      </c>
      <c r="B16" s="5">
        <v>9000</v>
      </c>
      <c r="C16" s="6">
        <v>19970</v>
      </c>
      <c r="D16" s="6">
        <v>32500</v>
      </c>
      <c r="E16" s="2">
        <v>0.2</v>
      </c>
      <c r="F16" s="5">
        <v>148601</v>
      </c>
      <c r="G16" s="3">
        <v>0.27400000000000002</v>
      </c>
      <c r="H16" s="1">
        <v>6.1</v>
      </c>
      <c r="I16" s="1">
        <v>2.4</v>
      </c>
    </row>
    <row r="17" spans="1:9">
      <c r="A17" s="1">
        <v>16</v>
      </c>
      <c r="B17" s="5">
        <v>8800</v>
      </c>
      <c r="C17" s="6">
        <v>18440</v>
      </c>
      <c r="D17" s="6">
        <v>31800</v>
      </c>
      <c r="E17" s="2">
        <v>0.17</v>
      </c>
      <c r="F17" s="5">
        <v>132632</v>
      </c>
      <c r="G17" s="3">
        <v>0.308</v>
      </c>
      <c r="H17" s="1">
        <v>5.5</v>
      </c>
      <c r="I17" s="1">
        <v>2.8</v>
      </c>
    </row>
    <row r="18" spans="1:9">
      <c r="A18" s="1">
        <v>17</v>
      </c>
      <c r="B18" s="5">
        <v>9400</v>
      </c>
      <c r="C18" s="6">
        <v>20630</v>
      </c>
      <c r="D18" s="6">
        <v>33500</v>
      </c>
      <c r="E18" s="2">
        <v>0.15</v>
      </c>
      <c r="F18" s="5">
        <v>147329</v>
      </c>
      <c r="G18" s="3">
        <v>0.33600000000000002</v>
      </c>
      <c r="H18" s="1">
        <v>4.8</v>
      </c>
      <c r="I18" s="1">
        <v>3.1</v>
      </c>
    </row>
    <row r="19" spans="1:9">
      <c r="A19" s="1">
        <v>18</v>
      </c>
      <c r="B19" s="5">
        <v>9900</v>
      </c>
      <c r="C19" s="6">
        <v>21585</v>
      </c>
      <c r="D19" s="6">
        <v>34800</v>
      </c>
      <c r="E19" s="2">
        <v>0.22</v>
      </c>
      <c r="F19" s="5">
        <v>159173</v>
      </c>
      <c r="G19" s="3">
        <v>0.25700000000000001</v>
      </c>
      <c r="H19" s="1">
        <v>6.4</v>
      </c>
      <c r="I19" s="1">
        <v>2.2000000000000002</v>
      </c>
    </row>
    <row r="20" spans="1:9">
      <c r="A20" s="1">
        <v>19</v>
      </c>
      <c r="B20" s="5">
        <v>10300</v>
      </c>
      <c r="C20" s="6">
        <v>21925</v>
      </c>
      <c r="D20" s="6">
        <v>35500</v>
      </c>
      <c r="E20" s="2">
        <v>0.19</v>
      </c>
      <c r="F20" s="5">
        <v>156540</v>
      </c>
      <c r="G20" s="3">
        <v>0.29199999999999998</v>
      </c>
      <c r="H20" s="1">
        <v>5.9</v>
      </c>
      <c r="I20" s="1">
        <v>2.6</v>
      </c>
    </row>
    <row r="21" spans="1:9">
      <c r="A21" s="1">
        <v>20</v>
      </c>
      <c r="B21" s="5">
        <v>10100</v>
      </c>
      <c r="C21" s="6">
        <v>21975</v>
      </c>
      <c r="D21" s="6">
        <v>35000</v>
      </c>
      <c r="E21" s="2">
        <v>0.18</v>
      </c>
      <c r="F21" s="5">
        <v>158105</v>
      </c>
      <c r="G21" s="3">
        <v>0.308</v>
      </c>
      <c r="H21" s="1">
        <v>5.2</v>
      </c>
      <c r="I21" s="1">
        <v>3</v>
      </c>
    </row>
    <row r="22" spans="1:9">
      <c r="A22" s="1">
        <v>21</v>
      </c>
      <c r="B22" s="5">
        <v>10800</v>
      </c>
      <c r="C22" s="6">
        <v>23700</v>
      </c>
      <c r="D22" s="6">
        <v>36500</v>
      </c>
      <c r="E22" s="2">
        <v>0.24</v>
      </c>
      <c r="F22" s="5">
        <v>175535</v>
      </c>
      <c r="G22" s="3">
        <v>0.23899999999999999</v>
      </c>
      <c r="H22" s="1">
        <v>6.7</v>
      </c>
      <c r="I22" s="1">
        <v>2.1</v>
      </c>
    </row>
    <row r="23" spans="1:9">
      <c r="A23" s="1">
        <v>22</v>
      </c>
      <c r="B23" s="5">
        <v>11200</v>
      </c>
      <c r="C23" s="6">
        <v>23920</v>
      </c>
      <c r="D23" s="6">
        <v>37200</v>
      </c>
      <c r="E23" s="2">
        <v>0.21</v>
      </c>
      <c r="F23" s="5">
        <v>170806</v>
      </c>
      <c r="G23" s="3">
        <v>0.27500000000000002</v>
      </c>
      <c r="H23" s="1">
        <v>6</v>
      </c>
      <c r="I23" s="1">
        <v>2.6</v>
      </c>
    </row>
    <row r="24" spans="1:9">
      <c r="A24" s="1">
        <v>23</v>
      </c>
      <c r="B24" s="5">
        <v>11700</v>
      </c>
      <c r="C24" s="6">
        <v>25505</v>
      </c>
      <c r="D24" s="6">
        <v>38500</v>
      </c>
      <c r="E24" s="2">
        <v>0.2</v>
      </c>
      <c r="F24" s="5">
        <v>182204</v>
      </c>
      <c r="G24" s="3">
        <v>0.29899999999999999</v>
      </c>
      <c r="H24" s="1">
        <v>5.6</v>
      </c>
      <c r="I24" s="1">
        <v>2.9</v>
      </c>
    </row>
    <row r="25" spans="1:9">
      <c r="A25" s="1">
        <v>24</v>
      </c>
      <c r="B25" s="5">
        <v>12100</v>
      </c>
      <c r="C25" s="6">
        <v>26565</v>
      </c>
      <c r="D25" s="6">
        <v>39200</v>
      </c>
      <c r="E25" s="2">
        <v>0.25</v>
      </c>
      <c r="F25" s="5">
        <v>194147</v>
      </c>
      <c r="G25" s="3">
        <v>0.23</v>
      </c>
      <c r="H25" s="1">
        <v>7.1</v>
      </c>
      <c r="I25" s="1">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96C4-5E7C-42C4-AE49-19DE4D147162}">
  <dimension ref="A1:D35"/>
  <sheetViews>
    <sheetView showGridLines="0" tabSelected="1" topLeftCell="A6" zoomScale="90" zoomScaleNormal="90" workbookViewId="0">
      <selection activeCell="C29" sqref="C29"/>
    </sheetView>
  </sheetViews>
  <sheetFormatPr defaultRowHeight="15"/>
  <cols>
    <col min="1" max="1" width="11.140625" customWidth="1"/>
    <col min="2" max="2" width="75.85546875" customWidth="1"/>
    <col min="3" max="3" width="19" style="17" customWidth="1"/>
    <col min="4" max="4" width="68.5703125" customWidth="1"/>
    <col min="8" max="8" width="16.5703125" bestFit="1" customWidth="1"/>
  </cols>
  <sheetData>
    <row r="1" spans="1:4" ht="18">
      <c r="A1" s="7" t="s">
        <v>22</v>
      </c>
      <c r="B1" s="8"/>
      <c r="C1" s="8"/>
      <c r="D1" s="8"/>
    </row>
    <row r="2" spans="1:4">
      <c r="A2" s="9"/>
      <c r="B2" s="10" t="s">
        <v>9</v>
      </c>
      <c r="C2" s="10" t="s">
        <v>10</v>
      </c>
      <c r="D2" s="10" t="s">
        <v>13</v>
      </c>
    </row>
    <row r="4" spans="1:4">
      <c r="A4" s="11"/>
      <c r="B4" s="12"/>
      <c r="C4" s="16"/>
      <c r="D4" s="12"/>
    </row>
    <row r="6" spans="1:4" ht="105">
      <c r="A6" s="13" t="s">
        <v>11</v>
      </c>
      <c r="B6" s="14" t="s">
        <v>12</v>
      </c>
      <c r="C6" s="25">
        <f>_xlfn.COVARIANCE.S(Campaigns[Ad Spend],Campaigns[Revenue])</f>
        <v>93195489.673913062</v>
      </c>
      <c r="D6" s="23" t="s">
        <v>25</v>
      </c>
    </row>
    <row r="7" spans="1:4">
      <c r="A7" s="13"/>
      <c r="B7" s="14"/>
      <c r="C7" s="21"/>
      <c r="D7" s="23"/>
    </row>
    <row r="8" spans="1:4">
      <c r="A8" s="13"/>
      <c r="B8" s="14"/>
      <c r="C8" s="21"/>
      <c r="D8" s="23"/>
    </row>
    <row r="9" spans="1:4">
      <c r="A9" s="13"/>
      <c r="B9" s="14"/>
      <c r="C9" s="21"/>
      <c r="D9" s="23"/>
    </row>
    <row r="10" spans="1:4">
      <c r="A10" s="13"/>
      <c r="B10" s="14"/>
      <c r="C10" s="21"/>
      <c r="D10" s="23"/>
    </row>
    <row r="11" spans="1:4">
      <c r="D11" s="17"/>
    </row>
    <row r="12" spans="1:4" ht="105">
      <c r="A12" s="13" t="s">
        <v>15</v>
      </c>
      <c r="B12" s="14" t="s">
        <v>14</v>
      </c>
      <c r="C12" s="24">
        <f>_xlfn.COVARIANCE.S(Campaigns[Delivery Days],Campaigns[Customer Rating])</f>
        <v>-0.66846014492753614</v>
      </c>
      <c r="D12" s="23" t="s">
        <v>26</v>
      </c>
    </row>
    <row r="13" spans="1:4">
      <c r="A13" s="13"/>
      <c r="B13" s="14"/>
      <c r="C13" s="22"/>
      <c r="D13" s="23"/>
    </row>
    <row r="14" spans="1:4">
      <c r="A14" s="13"/>
      <c r="B14" s="14"/>
      <c r="C14" s="22"/>
      <c r="D14" s="23"/>
    </row>
    <row r="15" spans="1:4">
      <c r="A15" s="13"/>
      <c r="B15" s="14"/>
      <c r="C15" s="22"/>
      <c r="D15" s="23"/>
    </row>
    <row r="16" spans="1:4">
      <c r="A16" s="13"/>
      <c r="B16" s="14"/>
      <c r="C16" s="22"/>
      <c r="D16" s="23"/>
    </row>
    <row r="17" spans="1:4">
      <c r="A17" s="13"/>
      <c r="B17" s="14"/>
      <c r="C17" s="22"/>
      <c r="D17" s="23"/>
    </row>
    <row r="18" spans="1:4">
      <c r="A18" s="13"/>
      <c r="B18" s="14"/>
      <c r="C18" s="22"/>
      <c r="D18" s="23"/>
    </row>
    <row r="19" spans="1:4">
      <c r="A19" s="13"/>
      <c r="B19" s="14"/>
      <c r="C19" s="22"/>
      <c r="D19" s="23"/>
    </row>
    <row r="20" spans="1:4">
      <c r="D20" s="17"/>
    </row>
    <row r="21" spans="1:4">
      <c r="A21" s="11"/>
      <c r="B21" s="12"/>
      <c r="C21" s="16"/>
      <c r="D21" s="16"/>
    </row>
    <row r="22" spans="1:4">
      <c r="D22" s="17"/>
    </row>
    <row r="23" spans="1:4" ht="45">
      <c r="A23" s="13" t="s">
        <v>16</v>
      </c>
      <c r="B23" s="14" t="s">
        <v>17</v>
      </c>
      <c r="C23" s="22">
        <f>CORREL(Campaigns[Website Visits],Campaigns[Revenue])</f>
        <v>0.99816274417599316</v>
      </c>
      <c r="D23" s="23" t="s">
        <v>27</v>
      </c>
    </row>
    <row r="24" spans="1:4">
      <c r="A24" s="13"/>
      <c r="B24" s="14"/>
      <c r="C24" s="18"/>
      <c r="D24" s="20"/>
    </row>
    <row r="25" spans="1:4">
      <c r="A25" s="13" t="s">
        <v>21</v>
      </c>
      <c r="B25" s="14" t="s">
        <v>18</v>
      </c>
      <c r="D25" s="17"/>
    </row>
    <row r="26" spans="1:4" ht="29.25" customHeight="1">
      <c r="A26" s="13"/>
      <c r="B26" s="19" t="s">
        <v>19</v>
      </c>
      <c r="C26" s="26">
        <f>CORREL(Campaigns[Ad Spend],Campaigns[Revenue])</f>
        <v>0.99510318079560101</v>
      </c>
      <c r="D26" s="23" t="s">
        <v>23</v>
      </c>
    </row>
    <row r="27" spans="1:4" ht="33.75" customHeight="1">
      <c r="A27" s="13"/>
      <c r="B27" s="19" t="s">
        <v>20</v>
      </c>
      <c r="C27" s="22">
        <f>CORREL(Campaigns[Delivery Days],Campaigns[Customer Rating])</f>
        <v>-0.98947028639087431</v>
      </c>
      <c r="D27" s="23" t="s">
        <v>24</v>
      </c>
    </row>
    <row r="28" spans="1:4">
      <c r="A28" s="13"/>
      <c r="B28" s="14"/>
      <c r="C28" s="18"/>
      <c r="D28" s="15"/>
    </row>
    <row r="29" spans="1:4">
      <c r="A29" s="13"/>
      <c r="B29" s="14"/>
      <c r="C29" s="18"/>
      <c r="D29" s="15"/>
    </row>
    <row r="30" spans="1:4">
      <c r="A30" s="13"/>
      <c r="B30" s="14"/>
      <c r="C30" s="18"/>
      <c r="D30" s="15"/>
    </row>
    <row r="31" spans="1:4">
      <c r="A31" s="13"/>
      <c r="B31" s="14"/>
      <c r="C31" s="18"/>
      <c r="D31" s="15"/>
    </row>
    <row r="32" spans="1:4">
      <c r="A32" s="13"/>
      <c r="B32" s="14"/>
      <c r="C32" s="18"/>
      <c r="D32" s="15"/>
    </row>
    <row r="33" spans="1:4">
      <c r="A33" s="13"/>
      <c r="B33" s="14"/>
      <c r="C33" s="18"/>
      <c r="D33" s="15"/>
    </row>
    <row r="34" spans="1:4">
      <c r="A34" s="13"/>
      <c r="B34" s="14"/>
      <c r="C34" s="18"/>
      <c r="D34" s="15"/>
    </row>
    <row r="35" spans="1:4">
      <c r="A35" s="13"/>
      <c r="B35" s="14"/>
      <c r="C35" s="18"/>
      <c r="D35" s="1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Luyolo Nimako</cp:lastModifiedBy>
  <dcterms:created xsi:type="dcterms:W3CDTF">2026-06-10T02:29:16Z</dcterms:created>
  <dcterms:modified xsi:type="dcterms:W3CDTF">2026-08-16T18:14:37Z</dcterms:modified>
</cp:coreProperties>
</file>