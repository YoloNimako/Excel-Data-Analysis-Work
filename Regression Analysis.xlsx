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iriworldwide-my.sharepoint.com/personal/luyolo_nimako_circana_com/Documents/Documents/Excel Upskilling/Ex_Files_Learning_Excel_Data_Analysis/Ex_Files_Learning_Excel_Data_Analysis/Exercise Files/06_07/"/>
    </mc:Choice>
  </mc:AlternateContent>
  <xr:revisionPtr revIDLastSave="319" documentId="8_{85824FF0-89ED-4456-BACA-148766E732ED}" xr6:coauthVersionLast="47" xr6:coauthVersionMax="47" xr10:uidLastSave="{BD64783E-B9EA-4939-AE34-21843018ED81}"/>
  <bookViews>
    <workbookView xWindow="-120" yWindow="-120" windowWidth="29040" windowHeight="15720" xr2:uid="{00000000-000D-0000-FFFF-FFFF00000000}"/>
  </bookViews>
  <sheets>
    <sheet name="Property Data" sheetId="5" r:id="rId1"/>
    <sheet name="Challenge Questions" sheetId="2" r:id="rId2"/>
    <sheet name="Q1 Answers" sheetId="3" r:id="rId3"/>
    <sheet name="Q2 Answe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F6" i="4"/>
  <c r="F4" i="4"/>
</calcChain>
</file>

<file path=xl/sharedStrings.xml><?xml version="1.0" encoding="utf-8"?>
<sst xmlns="http://schemas.openxmlformats.org/spreadsheetml/2006/main" count="146" uniqueCount="109">
  <si>
    <t>Property ID</t>
  </si>
  <si>
    <t>Sale Price</t>
  </si>
  <si>
    <t>Floor Area (sqm)</t>
  </si>
  <si>
    <t>Bedrooms</t>
  </si>
  <si>
    <t>Bathrooms</t>
  </si>
  <si>
    <t>Distance from CBD (km)</t>
  </si>
  <si>
    <t>Property Age (years)</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</si>
  <si>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</si>
  <si>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</si>
  <si>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</si>
  <si>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</si>
  <si>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</si>
  <si>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</si>
  <si>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</si>
  <si>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</si>
  <si>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</si>
  <si>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</si>
  <si>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</si>
  <si>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</si>
  <si>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</si>
  <si>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</si>
  <si>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</si>
  <si>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</si>
  <si>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</si>
  <si>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</si>
  <si>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</si>
  <si>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</si>
  <si>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</si>
  <si>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</si>
  <si>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</si>
  <si>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</si>
  <si>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</si>
  <si>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</si>
  <si>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</si>
  <si>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</si>
  <si>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</si>
  <si>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</si>
  <si>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</si>
  <si>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</si>
  <si>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</si>
  <si>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</si>
  <si>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</si>
  <si>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</si>
  <si>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</si>
  <si>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</si>
  <si>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</si>
  <si>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</si>
  <si>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Scenario</t>
  </si>
  <si>
    <t>A property analyst wants to know whether floor area helps predict sale price.</t>
  </si>
  <si>
    <t>Task</t>
  </si>
  <si>
    <t>Run a simple linear regression using Sale Price as the dependent variable and Floor Area (sqm) as the independent variable.</t>
  </si>
  <si>
    <t>Sub-questions</t>
  </si>
  <si>
    <t>1. What is the R Square value, and what does it tell you?
2. What is the coefficient for Floor Area (sqm), and how would you interpret it?
3. Is the relationship statistically significant based on the p-value?
4. Based on the output, does floor area help predict sale price?</t>
  </si>
  <si>
    <t>The analyst now wants to build a more complete model by including several property features.</t>
  </si>
  <si>
    <t>Run a multiple regression using Sale Price as the dependent variable and the property features as the independent variables.</t>
  </si>
  <si>
    <t>1. What is the R Square value, and how does it compare with the simple regression result?
2. Which variables have statistically significant p-values?
3. What does the coefficient for Distance from CBD (km) tell you?
4. What does the coefficient for Property Age (years) tell you?
5. Based on the output, is the multiple regression model more useful than the simple regression model?</t>
  </si>
  <si>
    <t>Use this sheet for your answers to question 1.</t>
  </si>
  <si>
    <t>Use this sheet for your answers to question 2.</t>
  </si>
  <si>
    <t>1. What is the R Square value, and what does it tell you?</t>
  </si>
  <si>
    <t>2. What is the coefficient for Floor Area (sqm), and how would you interpret it?</t>
  </si>
  <si>
    <t>3. Is the relationship statistically significant based on the p-value?</t>
  </si>
  <si>
    <t>4. Based on the output, does floor area help predict sale price?</t>
  </si>
  <si>
    <t>1. What is the R Square value, and how does it compare with the simple regression result?</t>
  </si>
  <si>
    <t>2. Which variables have statistically significant p-values?</t>
  </si>
  <si>
    <t xml:space="preserve">3. What does the coefficient for Distance from CBD (km) tell you?
</t>
  </si>
  <si>
    <t xml:space="preserve">4. What does the coefficient for Property Age (years) tell you?
</t>
  </si>
  <si>
    <t>5. Based on the output, is the multiple regression model more useful than the simple regression model?</t>
  </si>
  <si>
    <t>Question</t>
  </si>
  <si>
    <t>Answer</t>
  </si>
  <si>
    <t>Explanation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</si>
  <si>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</si>
  <si>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</si>
  <si>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</si>
  <si>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</si>
  <si>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</si>
  <si>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</si>
  <si>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</si>
  <si>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</si>
  <si>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</si>
  <si>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</si>
  <si>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</si>
  <si>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</si>
  <si>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</si>
  <si>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</si>
  <si>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</si>
  <si>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</si>
  <si>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</si>
  <si>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</si>
  <si>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</si>
  <si>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</si>
  <si>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</si>
  <si>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</si>
  <si>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</si>
  <si>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</si>
  <si>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Yes</t>
  </si>
  <si>
    <t>The p-value is less than 0.05 which entails that the relationship is statistically significant.</t>
  </si>
  <si>
    <t>The Floor Area explains about 61% of the variation in sale price; This explains around 61% of the variation in sale price can be explained by the floor area.</t>
  </si>
  <si>
    <t>For every additional or increase in square meter, the sales price will increase by about $6975 on average</t>
  </si>
  <si>
    <t>Yes, There are other factors to consider that are drivers in predicting the sale price, variables like the property age, number of bedrooms, bathrooms and location may also help explain sale price.</t>
  </si>
  <si>
    <t>Bedroom has the strongest p-value, additionally Distance and Property Age also are statistically significant.</t>
  </si>
  <si>
    <t>Yes it more useful, as it takes into consideration of several statistical significant variables that help explain the sale price beyond floor aarea, and it also has a much higher R Square value.</t>
  </si>
  <si>
    <t>The combined variables explains about 87% of the variation in sale price, which explains the property prices much better.</t>
  </si>
  <si>
    <t>All</t>
  </si>
  <si>
    <t>This means that for every additional km from the CBD, the model predicts that the sale price will decrease by $30,753 on average, assuming that  other variables stay the same.</t>
  </si>
  <si>
    <t>For every additional year for property age, the model predicts the sale price is estimated to decrease between $1,146 and $6,440 on average, assuming that other variables stay the same.</t>
  </si>
  <si>
    <t>Regression Analysis</t>
  </si>
  <si>
    <t>Simple Linear Regression</t>
  </si>
  <si>
    <t>Multiple Regression</t>
  </si>
  <si>
    <t>Property Pricing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</si>
</sst>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000000"/>
    <numFmt numFmtId="167" formatCode="0.000000000"/>
  </numFmts>
  <fonts count="7">
    <font>
      <sz val="11"/>
      <name val="Carlito"/>
    </font>
    <font>
      <b/>
      <sz val="14"/>
      <color rgb="FFFFFFFF"/>
      <name val="Carlito"/>
    </font>
    <font>
      <b/>
      <sz val="11"/>
      <color rgb="FF1F4E78"/>
      <name val="Carlito"/>
    </font>
    <font>
      <b/>
      <sz val="11"/>
      <name val="Carlito"/>
    </font>
    <font>
      <sz val="11"/>
      <name val="Carlito"/>
    </font>
    <font>
      <i/>
      <sz val="11"/>
      <name val="Carlito"/>
    </font>
    <font>
      <b/>
      <sz val="11"/>
      <color rgb="FFFFFFFF"/>
      <name val="Carlito"/>
    </font>
  </fonts>
  <fills count="11">
    <fill>
      <patternFill patternType="none"/>
    </fill>
    <fill>
      <patternFill patternType="gray125"/>
    </fill>
    <fill>
      <patternFill patternType="solid">
        <fgColor rgb="FF1F4E78"/>
      </patternFill>
    </fill>
    <fill>
      <patternFill patternType="solid">
        <fgColor rgb="FFD9EAF7"/>
      </patternFill>
    </fill>
    <fill>
      <patternFill patternType="solid">
        <fgColor rgb="FFF2F2F2"/>
      </patternFill>
    </fill>
    <fill>
      <patternFill patternType="solid">
        <fgColor theme="4"/>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bgColor indexed="64"/>
      </patternFill>
    </fill>
    <fill>
      <patternFill patternType="solid">
        <fgColor theme="0"/>
        <bgColor indexed="64"/>
      </patternFill>
    </fill>
  </fills>
  <borders count="7">
    <border>
      <left/>
      <right/>
      <top/>
      <bottom/>
      <diagonal/>
    </border>
    <border>
      <left/>
      <right/>
      <top/>
      <bottom style="thin">
        <color indexed="64"/>
      </bottom>
      <diagonal/>
    </border>
    <border>
      <left/>
      <right/>
      <top/>
      <bottom style="thin">
        <color theme="1" tint="0.499984740745262"/>
      </bottom>
      <diagonal/>
    </border>
    <border>
      <left/>
      <right/>
      <top style="thin">
        <color indexed="64"/>
      </top>
      <bottom style="thin">
        <color theme="1" tint="0.499984740745262"/>
      </bottom>
      <diagonal/>
    </border>
    <border>
      <left/>
      <right/>
      <top style="thin">
        <color theme="1" tint="0.499984740745262"/>
      </top>
      <bottom style="thin">
        <color theme="1" tint="0.499984740745262"/>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4" fillId="0" borderId="0" applyFont="0" applyFill="0" applyBorder="0" applyAlignment="0" applyProtection="0"/>
  </cellStyleXfs>
  <cellXfs count="41">
    <xf numFmtId="0" fontId="0" fillId="0" borderId="0" xfId="0"/>
    <xf numFmtId="0" fontId="0" fillId="0" borderId="0" xfId="0" applyAlignment="1">
      <alignment wrapText="1"/>
    </xf>
    <xf numFmtId="0" fontId="3" fillId="4" borderId="0" xfId="0" applyFont="1" applyFill="1" applyAlignment="1">
      <alignment vertical="top"/>
    </xf>
    <xf numFmtId="0" fontId="1" fillId="2" borderId="0" xfId="0" applyFont="1" applyFill="1" applyAlignment="1">
      <alignment horizontal="left" vertical="center"/>
    </xf>
    <xf numFmtId="0" fontId="2" fillId="3" borderId="0" xfId="0" applyFont="1" applyFill="1" applyAlignment="1">
      <alignment vertical="center"/>
    </xf>
    <xf numFmtId="0" fontId="0" fillId="0" borderId="0" xfId="0" applyAlignment="1">
      <alignment vertical="center"/>
    </xf>
    <xf numFmtId="0" fontId="0" fillId="0" borderId="0" xfId="0" applyAlignment="1">
      <alignment vertical="top"/>
    </xf>
    <xf numFmtId="0" fontId="1" fillId="2" borderId="0" xfId="0" applyFont="1" applyFill="1" applyAlignment="1">
      <alignment vertical="center"/>
    </xf>
    <xf numFmtId="0" fontId="0" fillId="5" borderId="0" xfId="0" applyFill="1"/>
    <xf numFmtId="0" fontId="1" fillId="5" borderId="0" xfId="0" applyFont="1" applyFill="1" applyAlignment="1">
      <alignment vertical="center"/>
    </xf>
    <xf numFmtId="0" fontId="3" fillId="0" borderId="1" xfId="0" applyFont="1" applyBorder="1"/>
    <xf numFmtId="0" fontId="3" fillId="0" borderId="1" xfId="0" applyFont="1" applyBorder="1" applyAlignment="1">
      <alignment horizontal="center"/>
    </xf>
    <xf numFmtId="9" fontId="0" fillId="0" borderId="2" xfId="1" applyFont="1" applyBorder="1" applyAlignment="1">
      <alignment vertical="top"/>
    </xf>
    <xf numFmtId="0" fontId="0" fillId="6" borderId="2" xfId="0" applyFill="1" applyBorder="1" applyAlignment="1">
      <alignment vertical="top"/>
    </xf>
    <xf numFmtId="0" fontId="0" fillId="0" borderId="2" xfId="0" applyBorder="1" applyAlignment="1">
      <alignment vertical="top"/>
    </xf>
    <xf numFmtId="0" fontId="0" fillId="6" borderId="0" xfId="0" applyFill="1" applyAlignment="1">
      <alignment horizontal="right" vertical="top"/>
    </xf>
    <xf numFmtId="0" fontId="0" fillId="0" borderId="1" xfId="0" applyBorder="1"/>
    <xf numFmtId="9" fontId="0" fillId="0" borderId="3" xfId="0" applyNumberFormat="1" applyBorder="1" applyAlignment="1">
      <alignment vertical="top"/>
    </xf>
    <xf numFmtId="0" fontId="0" fillId="6" borderId="4" xfId="0" applyFill="1" applyBorder="1" applyAlignment="1">
      <alignment vertical="top"/>
    </xf>
    <xf numFmtId="0" fontId="0" fillId="0" borderId="4" xfId="0" applyBorder="1" applyAlignment="1">
      <alignment vertical="top"/>
    </xf>
    <xf numFmtId="0" fontId="0" fillId="0" borderId="5" xfId="0" applyBorder="1"/>
    <xf numFmtId="0" fontId="5" fillId="0" borderId="6" xfId="0" applyFont="1" applyBorder="1" applyAlignment="1">
      <alignment horizontal="center"/>
    </xf>
    <xf numFmtId="0" fontId="5" fillId="0" borderId="6" xfId="0" applyFont="1" applyBorder="1" applyAlignment="1">
      <alignment horizontal="centerContinuous"/>
    </xf>
    <xf numFmtId="9" fontId="0" fillId="0" borderId="0" xfId="1" applyFont="1" applyFill="1" applyBorder="1" applyAlignment="1"/>
    <xf numFmtId="10" fontId="0" fillId="0" borderId="0" xfId="1" applyNumberFormat="1" applyFont="1" applyFill="1" applyBorder="1" applyAlignment="1"/>
    <xf numFmtId="0" fontId="0" fillId="7" borderId="0" xfId="0" applyFill="1"/>
    <xf numFmtId="166" fontId="0" fillId="8" borderId="0" xfId="0" applyNumberFormat="1" applyFill="1"/>
    <xf numFmtId="0" fontId="0" fillId="8" borderId="5" xfId="0" applyFill="1" applyBorder="1"/>
    <xf numFmtId="167" fontId="0" fillId="9" borderId="0" xfId="0" applyNumberFormat="1" applyFill="1"/>
    <xf numFmtId="164" fontId="0" fillId="0" borderId="0" xfId="0" applyNumberFormat="1"/>
    <xf numFmtId="1" fontId="0" fillId="0" borderId="0" xfId="0" applyNumberFormat="1"/>
    <xf numFmtId="165" fontId="0" fillId="0" borderId="0" xfId="0" applyNumberFormat="1"/>
    <xf numFmtId="0" fontId="0" fillId="6" borderId="4" xfId="0" applyFill="1"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6" borderId="2" xfId="0" applyFill="1" applyBorder="1" applyAlignment="1">
      <alignment horizontal="left" vertical="top" wrapText="1"/>
    </xf>
    <xf numFmtId="0" fontId="0" fillId="6" borderId="0" xfId="0" applyFill="1" applyAlignment="1">
      <alignment horizontal="left" vertical="top" wrapText="1"/>
    </xf>
    <xf numFmtId="0" fontId="6" fillId="0" borderId="0" xfId="0" applyFont="1" applyAlignment="1">
      <alignment horizontal="left" vertical="center" wrapText="1"/>
    </xf>
    <xf numFmtId="0" fontId="6" fillId="0" borderId="0" xfId="0" applyFont="1" applyAlignment="1">
      <alignment horizontal="right" vertical="center" wrapText="1"/>
    </xf>
    <xf numFmtId="0" fontId="0" fillId="10" borderId="0" xfId="0" applyFill="1" applyAlignment="1">
      <alignment wrapText="1"/>
    </xf>
  </cellXfs>
  <cellStyles count="2">
    <cellStyle name="Normal" xfId="0" builtinId="0"/>
    <cellStyle name="Percent" xfId="1" builtinId="5"/>
  </cellStyles>
  <dxfs count="1">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C030CD-DAF8-4038-8B19-43055CBFE66C}" name="PropertyPricingTable" displayName="PropertyPricingTable" ref="A3:G43" headerRowDxfId="0">
  <tableColumns count="7">
    <tableColumn id="1" xr3:uid="{F736E4B2-2F8E-46D7-A0DF-ED4D8F6F99D2}" name="Property ID"/>
    <tableColumn id="2" xr3:uid="{12D2B3F8-E65C-4D36-9A03-5A5E0B16BDF0}" name="Sale Price"/>
    <tableColumn id="3" xr3:uid="{80B7606D-0790-49BC-BA30-41E6F4B1B79E}" name="Floor Area (sqm)"/>
    <tableColumn id="4" xr3:uid="{8932386F-38FC-4DAE-9411-12C5D72F29E1}" name="Bedrooms"/>
    <tableColumn id="5" xr3:uid="{6AB4ADC8-940D-4582-8F5A-8851F304EACE}" name="Bathrooms"/>
    <tableColumn id="6" xr3:uid="{C362E36C-2C8A-4086-A8FF-229BBC61161A}" name="Distance from CBD (km)"/>
    <tableColumn id="7" xr3:uid="{44223DFF-8E1A-4D29-B18B-F87AF6A9876A}" name="Property Age (yea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45D1-D78B-4E31-8CCA-17AD8B6C530C}">
  <dimension ref="A1:G43"/>
  <sheetViews>
    <sheetView tabSelected="1" zoomScale="130" zoomScaleNormal="130" workbookViewId="0">
      <selection activeCell="A2" sqref="A2"/>
    </sheetView>
  </sheetViews>
  <sheetFormatPr defaultRowHeight="14.25"/>
  <cols>
    <col min="1" max="1" width="12.75" customWidth="1"/>
    <col min="2" max="2" width="13.25" customWidth="1"/>
    <col min="3" max="3" width="13.375" customWidth="1"/>
    <col min="4" max="5" width="12.875" customWidth="1"/>
    <col min="6" max="6" width="15.25" customWidth="1"/>
    <col min="7" max="7" width="14.5" customWidth="1"/>
  </cols>
  <sheetData>
    <row r="1" spans="1:7" ht="24" customHeight="1">
      <c r="A1" s="3" t="s">
        <v>108</v>
      </c>
      <c r="B1" s="3"/>
      <c r="C1" s="3"/>
      <c r="D1" s="3"/>
      <c r="E1" s="3"/>
      <c r="F1" s="3"/>
      <c r="G1" s="3"/>
    </row>
    <row r="3" spans="1:7" ht="30">
      <c r="A3" s="38" t="s">
        <v>0</v>
      </c>
      <c r="B3" s="39" t="s">
        <v>1</v>
      </c>
      <c r="C3" s="39" t="s">
        <v>2</v>
      </c>
      <c r="D3" s="39" t="s">
        <v>3</v>
      </c>
      <c r="E3" s="39" t="s">
        <v>4</v>
      </c>
      <c r="F3" s="39" t="s">
        <v>5</v>
      </c>
      <c r="G3" s="39" t="s">
        <v>6</v>
      </c>
    </row>
    <row r="4" spans="1:7">
      <c r="A4" t="s">
        <v>7</v>
      </c>
      <c r="B4" s="29">
        <v>754000</v>
      </c>
      <c r="C4" s="30">
        <v>180</v>
      </c>
      <c r="D4" s="30">
        <v>3</v>
      </c>
      <c r="E4" s="30">
        <v>2</v>
      </c>
      <c r="F4" s="31">
        <v>16.8</v>
      </c>
      <c r="G4" s="30">
        <v>14</v>
      </c>
    </row>
    <row r="5" spans="1:7">
      <c r="A5" t="s">
        <v>8</v>
      </c>
      <c r="B5" s="29">
        <v>1137000</v>
      </c>
      <c r="C5" s="30">
        <v>185</v>
      </c>
      <c r="D5" s="30">
        <v>3</v>
      </c>
      <c r="E5" s="30">
        <v>2</v>
      </c>
      <c r="F5" s="31">
        <v>10.4</v>
      </c>
      <c r="G5" s="30">
        <v>0</v>
      </c>
    </row>
    <row r="6" spans="1:7">
      <c r="A6" t="s">
        <v>9</v>
      </c>
      <c r="B6" s="29">
        <v>347000</v>
      </c>
      <c r="C6" s="30">
        <v>90</v>
      </c>
      <c r="D6" s="30">
        <v>2</v>
      </c>
      <c r="E6" s="30">
        <v>1</v>
      </c>
      <c r="F6" s="31">
        <v>12.1</v>
      </c>
      <c r="G6" s="30">
        <v>0</v>
      </c>
    </row>
    <row r="7" spans="1:7">
      <c r="A7" t="s">
        <v>10</v>
      </c>
      <c r="B7" s="29">
        <v>1063000</v>
      </c>
      <c r="C7" s="30">
        <v>190</v>
      </c>
      <c r="D7" s="30">
        <v>5</v>
      </c>
      <c r="E7" s="30">
        <v>2</v>
      </c>
      <c r="F7" s="31">
        <v>11</v>
      </c>
      <c r="G7" s="30">
        <v>16</v>
      </c>
    </row>
    <row r="8" spans="1:7">
      <c r="A8" t="s">
        <v>11</v>
      </c>
      <c r="B8" s="29">
        <v>906000</v>
      </c>
      <c r="C8" s="30">
        <v>205</v>
      </c>
      <c r="D8" s="30">
        <v>4</v>
      </c>
      <c r="E8" s="30">
        <v>2</v>
      </c>
      <c r="F8" s="31">
        <v>16</v>
      </c>
      <c r="G8" s="30">
        <v>20</v>
      </c>
    </row>
    <row r="9" spans="1:7">
      <c r="A9" t="s">
        <v>12</v>
      </c>
      <c r="B9" s="29">
        <v>1399000</v>
      </c>
      <c r="C9" s="30">
        <v>200</v>
      </c>
      <c r="D9" s="30">
        <v>4</v>
      </c>
      <c r="E9" s="30">
        <v>2</v>
      </c>
      <c r="F9" s="31">
        <v>3.9</v>
      </c>
      <c r="G9" s="30">
        <v>6</v>
      </c>
    </row>
    <row r="10" spans="1:7">
      <c r="A10" t="s">
        <v>13</v>
      </c>
      <c r="B10" s="29">
        <v>900000</v>
      </c>
      <c r="C10" s="30">
        <v>135</v>
      </c>
      <c r="D10" s="30">
        <v>3</v>
      </c>
      <c r="E10" s="30">
        <v>2</v>
      </c>
      <c r="F10" s="31">
        <v>7.3</v>
      </c>
      <c r="G10" s="30">
        <v>2</v>
      </c>
    </row>
    <row r="11" spans="1:7">
      <c r="A11" t="s">
        <v>14</v>
      </c>
      <c r="B11" s="29">
        <v>945000</v>
      </c>
      <c r="C11" s="30">
        <v>225</v>
      </c>
      <c r="D11" s="30">
        <v>5</v>
      </c>
      <c r="E11" s="30">
        <v>2</v>
      </c>
      <c r="F11" s="31">
        <v>13</v>
      </c>
      <c r="G11" s="30">
        <v>52</v>
      </c>
    </row>
    <row r="12" spans="1:7">
      <c r="A12" t="s">
        <v>15</v>
      </c>
      <c r="B12" s="29">
        <v>1314000</v>
      </c>
      <c r="C12" s="30">
        <v>180</v>
      </c>
      <c r="D12" s="30">
        <v>4</v>
      </c>
      <c r="E12" s="30">
        <v>3</v>
      </c>
      <c r="F12" s="31">
        <v>5.8</v>
      </c>
      <c r="G12" s="30">
        <v>4</v>
      </c>
    </row>
    <row r="13" spans="1:7">
      <c r="A13" t="s">
        <v>16</v>
      </c>
      <c r="B13" s="29">
        <v>261000</v>
      </c>
      <c r="C13" s="30">
        <v>125</v>
      </c>
      <c r="D13" s="30">
        <v>2</v>
      </c>
      <c r="E13" s="30">
        <v>1</v>
      </c>
      <c r="F13" s="31">
        <v>19.3</v>
      </c>
      <c r="G13" s="30">
        <v>24</v>
      </c>
    </row>
    <row r="14" spans="1:7">
      <c r="A14" t="s">
        <v>17</v>
      </c>
      <c r="B14" s="29">
        <v>528000</v>
      </c>
      <c r="C14" s="30">
        <v>120</v>
      </c>
      <c r="D14" s="30">
        <v>4</v>
      </c>
      <c r="E14" s="30">
        <v>3</v>
      </c>
      <c r="F14" s="31">
        <v>18.7</v>
      </c>
      <c r="G14" s="30">
        <v>10</v>
      </c>
    </row>
    <row r="15" spans="1:7">
      <c r="A15" t="s">
        <v>18</v>
      </c>
      <c r="B15" s="29">
        <v>420000</v>
      </c>
      <c r="C15" s="30">
        <v>120</v>
      </c>
      <c r="D15" s="30">
        <v>2</v>
      </c>
      <c r="E15" s="30">
        <v>2</v>
      </c>
      <c r="F15" s="31">
        <v>14.7</v>
      </c>
      <c r="G15" s="30">
        <v>34</v>
      </c>
    </row>
    <row r="16" spans="1:7">
      <c r="A16" t="s">
        <v>19</v>
      </c>
      <c r="B16" s="29">
        <v>1140000</v>
      </c>
      <c r="C16" s="30">
        <v>195</v>
      </c>
      <c r="D16" s="30">
        <v>4</v>
      </c>
      <c r="E16" s="30">
        <v>2</v>
      </c>
      <c r="F16" s="31">
        <v>11.2</v>
      </c>
      <c r="G16" s="30">
        <v>16</v>
      </c>
    </row>
    <row r="17" spans="1:7">
      <c r="A17" t="s">
        <v>20</v>
      </c>
      <c r="B17" s="29">
        <v>912000</v>
      </c>
      <c r="C17" s="30">
        <v>165</v>
      </c>
      <c r="D17" s="30">
        <v>4</v>
      </c>
      <c r="E17" s="30">
        <v>3</v>
      </c>
      <c r="F17" s="31">
        <v>8.5</v>
      </c>
      <c r="G17" s="30">
        <v>48</v>
      </c>
    </row>
    <row r="18" spans="1:7">
      <c r="A18" t="s">
        <v>21</v>
      </c>
      <c r="B18" s="29">
        <v>587000</v>
      </c>
      <c r="C18" s="30">
        <v>200</v>
      </c>
      <c r="D18" s="30">
        <v>3</v>
      </c>
      <c r="E18" s="30">
        <v>2</v>
      </c>
      <c r="F18" s="31">
        <v>18.399999999999999</v>
      </c>
      <c r="G18" s="30">
        <v>50</v>
      </c>
    </row>
    <row r="19" spans="1:7">
      <c r="A19" t="s">
        <v>22</v>
      </c>
      <c r="B19" s="29">
        <v>369000</v>
      </c>
      <c r="C19" s="30">
        <v>110</v>
      </c>
      <c r="D19" s="30">
        <v>2</v>
      </c>
      <c r="E19" s="30">
        <v>1</v>
      </c>
      <c r="F19" s="31">
        <v>15.1</v>
      </c>
      <c r="G19" s="30">
        <v>24</v>
      </c>
    </row>
    <row r="20" spans="1:7">
      <c r="A20" t="s">
        <v>23</v>
      </c>
      <c r="B20" s="29">
        <v>1360000</v>
      </c>
      <c r="C20" s="30">
        <v>220</v>
      </c>
      <c r="D20" s="30">
        <v>5</v>
      </c>
      <c r="E20" s="30">
        <v>2</v>
      </c>
      <c r="F20" s="31">
        <v>7.3</v>
      </c>
      <c r="G20" s="30">
        <v>14</v>
      </c>
    </row>
    <row r="21" spans="1:7">
      <c r="A21" t="s">
        <v>24</v>
      </c>
      <c r="B21" s="29">
        <v>1195000</v>
      </c>
      <c r="C21" s="30">
        <v>195</v>
      </c>
      <c r="D21" s="30">
        <v>5</v>
      </c>
      <c r="E21" s="30">
        <v>4</v>
      </c>
      <c r="F21" s="31">
        <v>10</v>
      </c>
      <c r="G21" s="30">
        <v>14</v>
      </c>
    </row>
    <row r="22" spans="1:7">
      <c r="A22" t="s">
        <v>25</v>
      </c>
      <c r="B22" s="29">
        <v>273000</v>
      </c>
      <c r="C22" s="30">
        <v>100</v>
      </c>
      <c r="D22" s="30">
        <v>3</v>
      </c>
      <c r="E22" s="30">
        <v>2</v>
      </c>
      <c r="F22" s="31">
        <v>17.100000000000001</v>
      </c>
      <c r="G22" s="30">
        <v>54</v>
      </c>
    </row>
    <row r="23" spans="1:7">
      <c r="A23" t="s">
        <v>26</v>
      </c>
      <c r="B23" s="29">
        <v>1553000</v>
      </c>
      <c r="C23" s="30">
        <v>205</v>
      </c>
      <c r="D23" s="30">
        <v>5</v>
      </c>
      <c r="E23" s="30">
        <v>4</v>
      </c>
      <c r="F23" s="31">
        <v>3.3</v>
      </c>
      <c r="G23" s="30">
        <v>24</v>
      </c>
    </row>
    <row r="24" spans="1:7">
      <c r="A24" t="s">
        <v>27</v>
      </c>
      <c r="B24" s="29">
        <v>1205000</v>
      </c>
      <c r="C24" s="30">
        <v>175</v>
      </c>
      <c r="D24" s="30">
        <v>5</v>
      </c>
      <c r="E24" s="30">
        <v>4</v>
      </c>
      <c r="F24" s="31">
        <v>7</v>
      </c>
      <c r="G24" s="30">
        <v>34</v>
      </c>
    </row>
    <row r="25" spans="1:7">
      <c r="A25" t="s">
        <v>28</v>
      </c>
      <c r="B25" s="29">
        <v>545000</v>
      </c>
      <c r="C25" s="30">
        <v>195</v>
      </c>
      <c r="D25" s="30">
        <v>3</v>
      </c>
      <c r="E25" s="30">
        <v>2</v>
      </c>
      <c r="F25" s="31">
        <v>19.7</v>
      </c>
      <c r="G25" s="30">
        <v>48</v>
      </c>
    </row>
    <row r="26" spans="1:7">
      <c r="A26" t="s">
        <v>29</v>
      </c>
      <c r="B26" s="29">
        <v>636000</v>
      </c>
      <c r="C26" s="30">
        <v>120</v>
      </c>
      <c r="D26" s="30">
        <v>3</v>
      </c>
      <c r="E26" s="30">
        <v>2</v>
      </c>
      <c r="F26" s="31">
        <v>7.9</v>
      </c>
      <c r="G26" s="30">
        <v>10</v>
      </c>
    </row>
    <row r="27" spans="1:7">
      <c r="A27" t="s">
        <v>30</v>
      </c>
      <c r="B27" s="29">
        <v>1111000</v>
      </c>
      <c r="C27" s="30">
        <v>220</v>
      </c>
      <c r="D27" s="30">
        <v>5</v>
      </c>
      <c r="E27" s="30">
        <v>4</v>
      </c>
      <c r="F27" s="31">
        <v>17.2</v>
      </c>
      <c r="G27" s="30">
        <v>32</v>
      </c>
    </row>
    <row r="28" spans="1:7">
      <c r="A28" t="s">
        <v>31</v>
      </c>
      <c r="B28" s="29">
        <v>1185000</v>
      </c>
      <c r="C28" s="30">
        <v>225</v>
      </c>
      <c r="D28" s="30">
        <v>4</v>
      </c>
      <c r="E28" s="30">
        <v>3</v>
      </c>
      <c r="F28" s="31">
        <v>8</v>
      </c>
      <c r="G28" s="30">
        <v>40</v>
      </c>
    </row>
    <row r="29" spans="1:7">
      <c r="A29" t="s">
        <v>32</v>
      </c>
      <c r="B29" s="29">
        <v>201000</v>
      </c>
      <c r="C29" s="30">
        <v>135</v>
      </c>
      <c r="D29" s="30">
        <v>3</v>
      </c>
      <c r="E29" s="30">
        <v>2</v>
      </c>
      <c r="F29" s="31">
        <v>21.1</v>
      </c>
      <c r="G29" s="30">
        <v>58</v>
      </c>
    </row>
    <row r="30" spans="1:7">
      <c r="A30" t="s">
        <v>33</v>
      </c>
      <c r="B30" s="29">
        <v>1035000</v>
      </c>
      <c r="C30" s="30">
        <v>160</v>
      </c>
      <c r="D30" s="30">
        <v>3</v>
      </c>
      <c r="E30" s="30">
        <v>2</v>
      </c>
      <c r="F30" s="31">
        <v>8.5</v>
      </c>
      <c r="G30" s="30">
        <v>0</v>
      </c>
    </row>
    <row r="31" spans="1:7">
      <c r="A31" t="s">
        <v>34</v>
      </c>
      <c r="B31" s="29">
        <v>1305000</v>
      </c>
      <c r="C31" s="30">
        <v>210</v>
      </c>
      <c r="D31" s="30">
        <v>5</v>
      </c>
      <c r="E31" s="30">
        <v>2</v>
      </c>
      <c r="F31" s="31">
        <v>3.2</v>
      </c>
      <c r="G31" s="30">
        <v>56</v>
      </c>
    </row>
    <row r="32" spans="1:7">
      <c r="A32" t="s">
        <v>35</v>
      </c>
      <c r="B32" s="29">
        <v>629000</v>
      </c>
      <c r="C32" s="30">
        <v>170</v>
      </c>
      <c r="D32" s="30">
        <v>3</v>
      </c>
      <c r="E32" s="30">
        <v>2</v>
      </c>
      <c r="F32" s="31">
        <v>16.600000000000001</v>
      </c>
      <c r="G32" s="30">
        <v>52</v>
      </c>
    </row>
    <row r="33" spans="1:7">
      <c r="A33" t="s">
        <v>36</v>
      </c>
      <c r="B33" s="29">
        <v>785000</v>
      </c>
      <c r="C33" s="30">
        <v>200</v>
      </c>
      <c r="D33" s="30">
        <v>4</v>
      </c>
      <c r="E33" s="30">
        <v>2</v>
      </c>
      <c r="F33" s="31">
        <v>15.2</v>
      </c>
      <c r="G33" s="30">
        <v>60</v>
      </c>
    </row>
    <row r="34" spans="1:7">
      <c r="A34" t="s">
        <v>37</v>
      </c>
      <c r="B34" s="29">
        <v>733000</v>
      </c>
      <c r="C34" s="30">
        <v>165</v>
      </c>
      <c r="D34" s="30">
        <v>4</v>
      </c>
      <c r="E34" s="30">
        <v>2</v>
      </c>
      <c r="F34" s="31">
        <v>12.6</v>
      </c>
      <c r="G34" s="30">
        <v>38</v>
      </c>
    </row>
    <row r="35" spans="1:7">
      <c r="A35" t="s">
        <v>38</v>
      </c>
      <c r="B35" s="29">
        <v>976000</v>
      </c>
      <c r="C35" s="30">
        <v>165</v>
      </c>
      <c r="D35" s="30">
        <v>4</v>
      </c>
      <c r="E35" s="30">
        <v>3</v>
      </c>
      <c r="F35" s="31">
        <v>8.1999999999999993</v>
      </c>
      <c r="G35" s="30">
        <v>42</v>
      </c>
    </row>
    <row r="36" spans="1:7">
      <c r="A36" t="s">
        <v>39</v>
      </c>
      <c r="B36" s="29">
        <v>672000</v>
      </c>
      <c r="C36" s="30">
        <v>180</v>
      </c>
      <c r="D36" s="30">
        <v>4</v>
      </c>
      <c r="E36" s="30">
        <v>2</v>
      </c>
      <c r="F36" s="31">
        <v>20</v>
      </c>
      <c r="G36" s="30">
        <v>28</v>
      </c>
    </row>
    <row r="37" spans="1:7">
      <c r="A37" t="s">
        <v>40</v>
      </c>
      <c r="B37" s="29">
        <v>507000</v>
      </c>
      <c r="C37" s="30">
        <v>130</v>
      </c>
      <c r="D37" s="30">
        <v>2</v>
      </c>
      <c r="E37" s="30">
        <v>2</v>
      </c>
      <c r="F37" s="31">
        <v>13.1</v>
      </c>
      <c r="G37" s="30">
        <v>36</v>
      </c>
    </row>
    <row r="38" spans="1:7">
      <c r="A38" t="s">
        <v>41</v>
      </c>
      <c r="B38" s="29">
        <v>425000</v>
      </c>
      <c r="C38" s="30">
        <v>115</v>
      </c>
      <c r="D38" s="30">
        <v>2</v>
      </c>
      <c r="E38" s="30">
        <v>1</v>
      </c>
      <c r="F38" s="31">
        <v>16.2</v>
      </c>
      <c r="G38" s="30">
        <v>2</v>
      </c>
    </row>
    <row r="39" spans="1:7">
      <c r="A39" t="s">
        <v>42</v>
      </c>
      <c r="B39" s="29">
        <v>1307000</v>
      </c>
      <c r="C39" s="30">
        <v>215</v>
      </c>
      <c r="D39" s="30">
        <v>5</v>
      </c>
      <c r="E39" s="30">
        <v>2</v>
      </c>
      <c r="F39" s="31">
        <v>12.3</v>
      </c>
      <c r="G39" s="30">
        <v>16</v>
      </c>
    </row>
    <row r="40" spans="1:7">
      <c r="A40" t="s">
        <v>43</v>
      </c>
      <c r="B40" s="29">
        <v>964000</v>
      </c>
      <c r="C40" s="30">
        <v>185</v>
      </c>
      <c r="D40" s="30">
        <v>5</v>
      </c>
      <c r="E40" s="30">
        <v>2</v>
      </c>
      <c r="F40" s="31">
        <v>12.8</v>
      </c>
      <c r="G40" s="30">
        <v>46</v>
      </c>
    </row>
    <row r="41" spans="1:7">
      <c r="A41" t="s">
        <v>44</v>
      </c>
      <c r="B41" s="29">
        <v>562000</v>
      </c>
      <c r="C41" s="30">
        <v>155</v>
      </c>
      <c r="D41" s="30">
        <v>3</v>
      </c>
      <c r="E41" s="30">
        <v>2</v>
      </c>
      <c r="F41" s="31">
        <v>18.100000000000001</v>
      </c>
      <c r="G41" s="30">
        <v>12</v>
      </c>
    </row>
    <row r="42" spans="1:7">
      <c r="A42" t="s">
        <v>45</v>
      </c>
      <c r="B42" s="29">
        <v>342000</v>
      </c>
      <c r="C42" s="30">
        <v>95</v>
      </c>
      <c r="D42" s="30">
        <v>2</v>
      </c>
      <c r="E42" s="30">
        <v>2</v>
      </c>
      <c r="F42" s="31">
        <v>10.6</v>
      </c>
      <c r="G42" s="30">
        <v>26</v>
      </c>
    </row>
    <row r="43" spans="1:7">
      <c r="A43" t="s">
        <v>46</v>
      </c>
      <c r="B43" s="29">
        <v>466000</v>
      </c>
      <c r="C43" s="30">
        <v>85</v>
      </c>
      <c r="D43" s="30">
        <v>2</v>
      </c>
      <c r="E43" s="30">
        <v>1</v>
      </c>
      <c r="F43" s="31">
        <v>10.1</v>
      </c>
      <c r="G43" s="30">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zoomScale="115" zoomScaleNormal="115" workbookViewId="0">
      <selection activeCell="B12" sqref="B12"/>
    </sheetView>
  </sheetViews>
  <sheetFormatPr defaultRowHeight="14.25"/>
  <cols>
    <col min="1" max="1" width="15" customWidth="1"/>
    <col min="2" max="2" width="95" customWidth="1"/>
  </cols>
  <sheetData>
    <row r="1" spans="1:6" ht="24" customHeight="1">
      <c r="A1" s="7" t="s">
        <v>105</v>
      </c>
      <c r="B1" s="7"/>
    </row>
    <row r="3" spans="1:6" ht="21.95" customHeight="1">
      <c r="A3" s="4" t="s">
        <v>106</v>
      </c>
      <c r="B3" s="4"/>
      <c r="C3" s="5"/>
      <c r="D3" s="5"/>
      <c r="E3" s="5"/>
      <c r="F3" s="5"/>
    </row>
    <row r="4" spans="1:6" ht="15">
      <c r="A4" s="2" t="s">
        <v>47</v>
      </c>
      <c r="B4" s="40" t="s">
        <v>48</v>
      </c>
    </row>
    <row r="5" spans="1:6" ht="28.5">
      <c r="A5" s="2" t="s">
        <v>49</v>
      </c>
      <c r="B5" s="40" t="s">
        <v>50</v>
      </c>
    </row>
    <row r="6" spans="1:6" ht="57">
      <c r="A6" s="2" t="s">
        <v>51</v>
      </c>
      <c r="B6" s="1" t="s">
        <v>52</v>
      </c>
    </row>
    <row r="8" spans="1:6">
      <c r="B8" s="1"/>
    </row>
    <row r="9" spans="1:6" ht="21.95" customHeight="1">
      <c r="A9" s="4" t="s">
        <v>107</v>
      </c>
      <c r="B9" s="4"/>
      <c r="C9" s="5"/>
      <c r="D9" s="5"/>
      <c r="E9" s="5"/>
      <c r="F9" s="5"/>
    </row>
    <row r="10" spans="1:6" ht="15">
      <c r="A10" s="2" t="s">
        <v>47</v>
      </c>
      <c r="B10" s="1" t="s">
        <v>53</v>
      </c>
    </row>
    <row r="11" spans="1:6" ht="28.5">
      <c r="A11" s="2" t="s">
        <v>49</v>
      </c>
      <c r="B11" s="1" t="s">
        <v>54</v>
      </c>
    </row>
    <row r="12" spans="1:6" ht="71.25">
      <c r="A12" s="2" t="s">
        <v>51</v>
      </c>
      <c r="B12" s="1"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C988-C6B5-406A-A446-ACF5B01470B5}">
  <dimension ref="B1:K27"/>
  <sheetViews>
    <sheetView workbookViewId="0">
      <selection activeCell="G8" sqref="G8"/>
    </sheetView>
  </sheetViews>
  <sheetFormatPr defaultRowHeight="14.25"/>
  <cols>
    <col min="1" max="1" width="2.875" customWidth="1"/>
    <col min="2" max="2" width="23.875" customWidth="1"/>
    <col min="3" max="6" width="15" customWidth="1"/>
    <col min="7" max="11" width="16.25" customWidth="1"/>
  </cols>
  <sheetData>
    <row r="1" spans="2:11" s="8" customFormat="1" ht="23.25" customHeight="1">
      <c r="B1" s="9" t="s">
        <v>56</v>
      </c>
    </row>
    <row r="3" spans="2:11" ht="15">
      <c r="B3" s="10" t="s">
        <v>67</v>
      </c>
      <c r="C3" s="10"/>
      <c r="D3" s="10"/>
      <c r="E3" s="10"/>
      <c r="F3" s="11" t="s">
        <v>68</v>
      </c>
      <c r="G3" s="10" t="s">
        <v>69</v>
      </c>
      <c r="H3" s="10"/>
      <c r="I3" s="10"/>
      <c r="J3" s="10"/>
      <c r="K3" s="10"/>
    </row>
    <row r="4" spans="2:11" s="6" customFormat="1" ht="35.25" customHeight="1">
      <c r="B4" s="35" t="s">
        <v>58</v>
      </c>
      <c r="C4" s="35"/>
      <c r="D4" s="35"/>
      <c r="E4" s="35"/>
      <c r="F4" s="12">
        <v>0.61</v>
      </c>
      <c r="G4" s="35" t="s">
        <v>96</v>
      </c>
      <c r="H4" s="35"/>
      <c r="I4" s="35"/>
      <c r="J4" s="35"/>
      <c r="K4" s="35"/>
    </row>
    <row r="5" spans="2:11" s="6" customFormat="1" ht="35.25" customHeight="1">
      <c r="B5" s="36" t="s">
        <v>59</v>
      </c>
      <c r="C5" s="36"/>
      <c r="D5" s="36"/>
      <c r="E5" s="36"/>
      <c r="F5" s="13">
        <v>6975.32</v>
      </c>
      <c r="G5" s="36" t="s">
        <v>97</v>
      </c>
      <c r="H5" s="36"/>
      <c r="I5" s="36"/>
      <c r="J5" s="36"/>
      <c r="K5" s="36"/>
    </row>
    <row r="6" spans="2:11" s="6" customFormat="1" ht="35.25" customHeight="1">
      <c r="B6" s="35" t="s">
        <v>60</v>
      </c>
      <c r="C6" s="35"/>
      <c r="D6" s="35"/>
      <c r="E6" s="35"/>
      <c r="F6" s="14" t="s">
        <v>94</v>
      </c>
      <c r="G6" s="35" t="s">
        <v>95</v>
      </c>
      <c r="H6" s="35"/>
      <c r="I6" s="35"/>
      <c r="J6" s="35"/>
      <c r="K6" s="35"/>
    </row>
    <row r="7" spans="2:11" s="6" customFormat="1" ht="35.25" customHeight="1">
      <c r="B7" s="37" t="s">
        <v>61</v>
      </c>
      <c r="C7" s="37"/>
      <c r="D7" s="37"/>
      <c r="E7" s="37"/>
      <c r="F7" s="15"/>
      <c r="G7" s="37" t="s">
        <v>98</v>
      </c>
      <c r="H7" s="37"/>
      <c r="I7" s="37"/>
      <c r="J7" s="37"/>
      <c r="K7" s="37"/>
    </row>
    <row r="10" spans="2:11">
      <c r="B10" t="s">
        <v>70</v>
      </c>
    </row>
    <row r="11" spans="2:11" ht="15" thickBot="1"/>
    <row r="12" spans="2:11">
      <c r="B12" s="22" t="s">
        <v>71</v>
      </c>
      <c r="C12" s="22"/>
    </row>
    <row r="13" spans="2:11">
      <c r="B13" t="s">
        <v>72</v>
      </c>
      <c r="C13">
        <v>0.78038900943811018</v>
      </c>
    </row>
    <row r="14" spans="2:11">
      <c r="B14" t="s">
        <v>73</v>
      </c>
      <c r="C14" s="24">
        <v>0.60900700605179481</v>
      </c>
    </row>
    <row r="15" spans="2:11">
      <c r="B15" t="s">
        <v>74</v>
      </c>
      <c r="C15" s="24">
        <v>0.5987177167373684</v>
      </c>
    </row>
    <row r="16" spans="2:11">
      <c r="B16" t="s">
        <v>75</v>
      </c>
      <c r="C16">
        <v>234726.61390358637</v>
      </c>
    </row>
    <row r="17" spans="2:10" ht="15" thickBot="1">
      <c r="B17" s="20" t="s">
        <v>76</v>
      </c>
      <c r="C17" s="20">
        <v>40</v>
      </c>
    </row>
    <row r="19" spans="2:10" ht="15" thickBot="1">
      <c r="B19" t="s">
        <v>77</v>
      </c>
    </row>
    <row r="20" spans="2:10">
      <c r="B20" s="21"/>
      <c r="C20" s="21" t="s">
        <v>82</v>
      </c>
      <c r="D20" s="21" t="s">
        <v>83</v>
      </c>
      <c r="E20" s="21" t="s">
        <v>84</v>
      </c>
      <c r="F20" s="21" t="s">
        <v>85</v>
      </c>
      <c r="G20" s="21" t="s">
        <v>86</v>
      </c>
    </row>
    <row r="21" spans="2:10">
      <c r="B21" t="s">
        <v>78</v>
      </c>
      <c r="C21">
        <v>1</v>
      </c>
      <c r="D21">
        <v>3261080935563.5547</v>
      </c>
      <c r="E21">
        <v>3261080935563.5547</v>
      </c>
      <c r="F21">
        <v>59.188442218056345</v>
      </c>
      <c r="G21">
        <v>2.8931220880443089E-9</v>
      </c>
    </row>
    <row r="22" spans="2:10">
      <c r="B22" t="s">
        <v>79</v>
      </c>
      <c r="C22">
        <v>38</v>
      </c>
      <c r="D22">
        <v>2093670164436.4456</v>
      </c>
      <c r="E22">
        <v>55096583274.643303</v>
      </c>
    </row>
    <row r="23" spans="2:10" ht="15" thickBot="1">
      <c r="B23" s="20" t="s">
        <v>80</v>
      </c>
      <c r="C23" s="20">
        <v>39</v>
      </c>
      <c r="D23" s="20">
        <v>5354751100000</v>
      </c>
      <c r="E23" s="20"/>
      <c r="F23" s="20"/>
      <c r="G23" s="20"/>
    </row>
    <row r="24" spans="2:10" ht="15" thickBot="1"/>
    <row r="25" spans="2:10">
      <c r="B25" s="21"/>
      <c r="C25" s="21" t="s">
        <v>87</v>
      </c>
      <c r="D25" s="21" t="s">
        <v>75</v>
      </c>
      <c r="E25" s="21" t="s">
        <v>88</v>
      </c>
      <c r="F25" s="21" t="s">
        <v>89</v>
      </c>
      <c r="G25" s="21" t="s">
        <v>90</v>
      </c>
      <c r="H25" s="21" t="s">
        <v>91</v>
      </c>
      <c r="I25" s="21" t="s">
        <v>92</v>
      </c>
      <c r="J25" s="21" t="s">
        <v>93</v>
      </c>
    </row>
    <row r="26" spans="2:10">
      <c r="B26" t="s">
        <v>81</v>
      </c>
      <c r="C26">
        <v>-334925.7452978855</v>
      </c>
      <c r="D26">
        <v>155124.53439647646</v>
      </c>
      <c r="E26">
        <v>-2.1590765548527768</v>
      </c>
      <c r="F26">
        <v>3.7222704133539133E-2</v>
      </c>
      <c r="G26">
        <v>-648958.94740967406</v>
      </c>
      <c r="H26">
        <v>-20892.543186096882</v>
      </c>
      <c r="I26">
        <v>-648958.94740967406</v>
      </c>
      <c r="J26">
        <v>-20892.543186096882</v>
      </c>
    </row>
    <row r="27" spans="2:10" ht="15" thickBot="1">
      <c r="B27" s="20" t="s">
        <v>2</v>
      </c>
      <c r="C27" s="20">
        <v>6975.3242756832797</v>
      </c>
      <c r="D27" s="20">
        <v>906.6631135477071</v>
      </c>
      <c r="E27" s="20">
        <v>7.6934025124164869</v>
      </c>
      <c r="F27" s="20">
        <v>2.8931220880443292E-9</v>
      </c>
      <c r="G27" s="20">
        <v>5139.8807599830498</v>
      </c>
      <c r="H27" s="20">
        <v>8810.7677913835178</v>
      </c>
      <c r="I27" s="20">
        <v>5139.8807599830498</v>
      </c>
      <c r="J27" s="20">
        <v>8810.7677913835178</v>
      </c>
    </row>
  </sheetData>
  <mergeCells count="8">
    <mergeCell ref="B4:E4"/>
    <mergeCell ref="B5:E5"/>
    <mergeCell ref="B7:E7"/>
    <mergeCell ref="G4:K4"/>
    <mergeCell ref="G5:K5"/>
    <mergeCell ref="G6:K6"/>
    <mergeCell ref="G7:K7"/>
    <mergeCell ref="B6: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6ACB-EBD3-4270-9111-AFE8EF5C3C41}">
  <dimension ref="B1:L31"/>
  <sheetViews>
    <sheetView workbookViewId="0">
      <selection activeCell="G8" sqref="G8:L8"/>
    </sheetView>
  </sheetViews>
  <sheetFormatPr defaultRowHeight="14.25"/>
  <cols>
    <col min="1" max="1" width="3.25" customWidth="1"/>
    <col min="2" max="5" width="16.625" customWidth="1"/>
    <col min="6" max="6" width="11.5" customWidth="1"/>
    <col min="7" max="12" width="14.25" customWidth="1"/>
  </cols>
  <sheetData>
    <row r="1" spans="2:12" s="8" customFormat="1" ht="23.25" customHeight="1">
      <c r="B1" s="9" t="s">
        <v>57</v>
      </c>
    </row>
    <row r="3" spans="2:12" ht="15">
      <c r="B3" s="10" t="s">
        <v>67</v>
      </c>
      <c r="C3" s="10"/>
      <c r="D3" s="10"/>
      <c r="E3" s="10"/>
      <c r="F3" s="11" t="s">
        <v>68</v>
      </c>
      <c r="G3" s="10" t="s">
        <v>69</v>
      </c>
      <c r="H3" s="10"/>
      <c r="I3" s="10"/>
      <c r="J3" s="10"/>
      <c r="K3" s="10"/>
      <c r="L3" s="16"/>
    </row>
    <row r="4" spans="2:12" ht="41.25" customHeight="1">
      <c r="B4" s="34" t="s">
        <v>62</v>
      </c>
      <c r="C4" s="34"/>
      <c r="D4" s="34"/>
      <c r="E4" s="34"/>
      <c r="F4" s="17">
        <f>C15</f>
        <v>0.87173518794857341</v>
      </c>
      <c r="G4" s="34" t="s">
        <v>101</v>
      </c>
      <c r="H4" s="34"/>
      <c r="I4" s="34"/>
      <c r="J4" s="34"/>
      <c r="K4" s="34"/>
      <c r="L4" s="34"/>
    </row>
    <row r="5" spans="2:12" ht="41.25" customHeight="1">
      <c r="B5" s="32" t="s">
        <v>63</v>
      </c>
      <c r="C5" s="32"/>
      <c r="D5" s="32"/>
      <c r="E5" s="32"/>
      <c r="F5" s="18" t="s">
        <v>102</v>
      </c>
      <c r="G5" s="32" t="s">
        <v>99</v>
      </c>
      <c r="H5" s="32"/>
      <c r="I5" s="32"/>
      <c r="J5" s="32"/>
      <c r="K5" s="32"/>
      <c r="L5" s="32"/>
    </row>
    <row r="6" spans="2:12" ht="41.25" customHeight="1">
      <c r="B6" s="33" t="s">
        <v>64</v>
      </c>
      <c r="C6" s="33"/>
      <c r="D6" s="33"/>
      <c r="E6" s="33"/>
      <c r="F6" s="19">
        <f>C30</f>
        <v>-30753.365523980301</v>
      </c>
      <c r="G6" s="33" t="s">
        <v>103</v>
      </c>
      <c r="H6" s="33"/>
      <c r="I6" s="33"/>
      <c r="J6" s="33"/>
      <c r="K6" s="33"/>
      <c r="L6" s="33"/>
    </row>
    <row r="7" spans="2:12" ht="41.25" customHeight="1">
      <c r="B7" s="32" t="s">
        <v>65</v>
      </c>
      <c r="C7" s="32"/>
      <c r="D7" s="32"/>
      <c r="E7" s="32"/>
      <c r="F7" s="18">
        <f>C31</f>
        <v>-3793.2207446410312</v>
      </c>
      <c r="G7" s="32" t="s">
        <v>104</v>
      </c>
      <c r="H7" s="32"/>
      <c r="I7" s="32"/>
      <c r="J7" s="32"/>
      <c r="K7" s="32"/>
      <c r="L7" s="32"/>
    </row>
    <row r="8" spans="2:12" ht="41.25" customHeight="1">
      <c r="B8" s="33" t="s">
        <v>66</v>
      </c>
      <c r="C8" s="33"/>
      <c r="D8" s="33"/>
      <c r="E8" s="33"/>
      <c r="F8" s="19"/>
      <c r="G8" s="33" t="s">
        <v>100</v>
      </c>
      <c r="H8" s="33"/>
      <c r="I8" s="33"/>
      <c r="J8" s="33"/>
      <c r="K8" s="33"/>
      <c r="L8" s="33"/>
    </row>
    <row r="11" spans="2:12">
      <c r="B11" t="s">
        <v>70</v>
      </c>
    </row>
    <row r="12" spans="2:12" ht="15" thickBot="1"/>
    <row r="13" spans="2:12">
      <c r="B13" s="22" t="s">
        <v>71</v>
      </c>
      <c r="C13" s="22"/>
    </row>
    <row r="14" spans="2:12">
      <c r="B14" t="s">
        <v>72</v>
      </c>
      <c r="C14">
        <v>0.93366760035280938</v>
      </c>
    </row>
    <row r="15" spans="2:12">
      <c r="B15" t="s">
        <v>73</v>
      </c>
      <c r="C15" s="23">
        <v>0.87173518794857341</v>
      </c>
    </row>
    <row r="16" spans="2:12">
      <c r="B16" t="s">
        <v>74</v>
      </c>
      <c r="C16" s="23">
        <v>0.85707635228555334</v>
      </c>
    </row>
    <row r="17" spans="2:10">
      <c r="B17" t="s">
        <v>75</v>
      </c>
      <c r="C17">
        <v>140084.2749840935</v>
      </c>
    </row>
    <row r="18" spans="2:10" ht="15" thickBot="1">
      <c r="B18" s="20" t="s">
        <v>76</v>
      </c>
      <c r="C18" s="20">
        <v>40</v>
      </c>
    </row>
    <row r="20" spans="2:10" ht="15" thickBot="1">
      <c r="B20" t="s">
        <v>77</v>
      </c>
    </row>
    <row r="21" spans="2:10">
      <c r="B21" s="21"/>
      <c r="C21" s="21" t="s">
        <v>82</v>
      </c>
      <c r="D21" s="21" t="s">
        <v>83</v>
      </c>
      <c r="E21" s="21" t="s">
        <v>84</v>
      </c>
      <c r="F21" s="21" t="s">
        <v>85</v>
      </c>
      <c r="G21" s="21" t="s">
        <v>86</v>
      </c>
    </row>
    <row r="22" spans="2:10">
      <c r="B22" t="s">
        <v>78</v>
      </c>
      <c r="C22">
        <v>4</v>
      </c>
      <c r="D22">
        <v>4667924956576.3301</v>
      </c>
      <c r="E22">
        <v>1166981239144.0825</v>
      </c>
      <c r="F22">
        <v>59.468242088810548</v>
      </c>
      <c r="G22">
        <v>4.0075459090028169E-15</v>
      </c>
    </row>
    <row r="23" spans="2:10">
      <c r="B23" t="s">
        <v>79</v>
      </c>
      <c r="C23">
        <v>35</v>
      </c>
      <c r="D23">
        <v>686826143423.66943</v>
      </c>
      <c r="E23">
        <v>19623604097.819126</v>
      </c>
    </row>
    <row r="24" spans="2:10" ht="15" thickBot="1">
      <c r="B24" s="20" t="s">
        <v>80</v>
      </c>
      <c r="C24" s="20">
        <v>39</v>
      </c>
      <c r="D24" s="20">
        <v>5354751100000</v>
      </c>
      <c r="E24" s="20"/>
      <c r="F24" s="20"/>
      <c r="G24" s="20"/>
    </row>
    <row r="25" spans="2:10" ht="15" thickBot="1"/>
    <row r="26" spans="2:10">
      <c r="B26" s="21"/>
      <c r="C26" s="21" t="s">
        <v>87</v>
      </c>
      <c r="D26" s="21" t="s">
        <v>75</v>
      </c>
      <c r="E26" s="21" t="s">
        <v>88</v>
      </c>
      <c r="F26" s="21" t="s">
        <v>89</v>
      </c>
      <c r="G26" s="21" t="s">
        <v>90</v>
      </c>
      <c r="H26" s="21" t="s">
        <v>91</v>
      </c>
      <c r="I26" s="21" t="s">
        <v>92</v>
      </c>
      <c r="J26" s="21" t="s">
        <v>93</v>
      </c>
    </row>
    <row r="27" spans="2:10">
      <c r="B27" t="s">
        <v>81</v>
      </c>
      <c r="C27">
        <v>463545.53921491397</v>
      </c>
      <c r="D27">
        <v>122874.35540232097</v>
      </c>
      <c r="E27">
        <v>3.7725165490972583</v>
      </c>
      <c r="F27">
        <v>5.9959085462336665E-4</v>
      </c>
      <c r="G27">
        <v>214097.33613401168</v>
      </c>
      <c r="H27">
        <v>712993.74229581631</v>
      </c>
      <c r="I27">
        <v>214097.33613401168</v>
      </c>
      <c r="J27">
        <v>712993.74229581631</v>
      </c>
    </row>
    <row r="28" spans="2:10">
      <c r="B28" t="s">
        <v>3</v>
      </c>
      <c r="C28">
        <v>221055.65007086267</v>
      </c>
      <c r="D28">
        <v>28236.237610223434</v>
      </c>
      <c r="E28">
        <v>7.8287926714012892</v>
      </c>
      <c r="F28" s="28">
        <v>3.3646920011460671E-9</v>
      </c>
      <c r="G28">
        <v>163733.04023438753</v>
      </c>
      <c r="H28">
        <v>278378.25990733778</v>
      </c>
      <c r="I28">
        <v>163733.04023438753</v>
      </c>
      <c r="J28">
        <v>278378.25990733778</v>
      </c>
    </row>
    <row r="29" spans="2:10">
      <c r="B29" t="s">
        <v>4</v>
      </c>
      <c r="C29">
        <v>25339.629063307548</v>
      </c>
      <c r="D29">
        <v>37242.982303381075</v>
      </c>
      <c r="E29">
        <v>0.68038667947940112</v>
      </c>
      <c r="F29" s="25">
        <v>0.50073598305171396</v>
      </c>
      <c r="G29">
        <v>-50267.644582473622</v>
      </c>
      <c r="H29">
        <v>100946.90270908872</v>
      </c>
      <c r="I29">
        <v>-50267.644582473622</v>
      </c>
      <c r="J29">
        <v>100946.90270908872</v>
      </c>
    </row>
    <row r="30" spans="2:10">
      <c r="B30" t="s">
        <v>5</v>
      </c>
      <c r="C30">
        <v>-30753.365523980301</v>
      </c>
      <c r="D30">
        <v>5255.7763838128003</v>
      </c>
      <c r="E30">
        <v>-5.8513458865368024</v>
      </c>
      <c r="F30" s="26">
        <v>1.2121425281691246E-6</v>
      </c>
      <c r="G30">
        <v>-41423.158829869586</v>
      </c>
      <c r="H30">
        <v>-20083.572218091012</v>
      </c>
      <c r="I30">
        <v>-41423.158829869586</v>
      </c>
      <c r="J30">
        <v>-20083.572218091012</v>
      </c>
    </row>
    <row r="31" spans="2:10" ht="15" thickBot="1">
      <c r="B31" s="20" t="s">
        <v>6</v>
      </c>
      <c r="C31" s="20">
        <v>-3793.2207446410312</v>
      </c>
      <c r="D31" s="20">
        <v>1303.6183687122989</v>
      </c>
      <c r="E31" s="20">
        <v>-2.9097631911921713</v>
      </c>
      <c r="F31" s="27">
        <v>6.2489360921050147E-3</v>
      </c>
      <c r="G31" s="20">
        <v>-6439.7067303766489</v>
      </c>
      <c r="H31" s="20">
        <v>-1146.7347589054134</v>
      </c>
      <c r="I31" s="20">
        <v>-6439.7067303766489</v>
      </c>
      <c r="J31" s="20">
        <v>-1146.7347589054134</v>
      </c>
    </row>
  </sheetData>
  <mergeCells count="10">
    <mergeCell ref="B7:E7"/>
    <mergeCell ref="G7:L7"/>
    <mergeCell ref="B8:E8"/>
    <mergeCell ref="G8:L8"/>
    <mergeCell ref="B4:E4"/>
    <mergeCell ref="G4:L4"/>
    <mergeCell ref="B5:E5"/>
    <mergeCell ref="G5:L5"/>
    <mergeCell ref="B6:E6"/>
    <mergeCell ref="G6: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Property Data</vt:lpstr>
      <vt:lpstr>Challenge Questions</vt:lpstr>
      <vt:lpstr>Q1 Answers</vt:lpstr>
      <vt:lpstr>Q2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Luyolo Nimako</cp:lastModifiedBy>
  <dcterms:created xsi:type="dcterms:W3CDTF">2026-06-12T05:17:06Z</dcterms:created>
  <dcterms:modified xsi:type="dcterms:W3CDTF">2026-09-07T15:22:38Z</dcterms:modified>
</cp:coreProperties>
</file>