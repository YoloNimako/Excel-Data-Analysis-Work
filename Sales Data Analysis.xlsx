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iriworldwide-my.sharepoint.com/personal/luyolo_nimako_circana_com/Documents/Documents/Excel Upskilling/Ex_Files_Learning_Excel_Data_Analysis/Ex_Files_Learning_Excel_Data_Analysis/Exercise Files/02_07/"/>
    </mc:Choice>
  </mc:AlternateContent>
  <xr:revisionPtr revIDLastSave="290" documentId="8_{639847F3-60D9-4E37-85AC-4EC9A7B4696B}" xr6:coauthVersionLast="47" xr6:coauthVersionMax="47" xr10:uidLastSave="{878ACF3A-D712-4096-B5AD-C7680958E367}"/>
  <bookViews>
    <workbookView xWindow="-120" yWindow="-120" windowWidth="29040" windowHeight="15720" activeTab="3" xr2:uid="{00000000-000D-0000-FFFF-FFFF00000000}"/>
  </bookViews>
  <sheets>
    <sheet name="Sales Data" sheetId="2" r:id="rId1"/>
    <sheet name="Forecasting" sheetId="9" r:id="rId2"/>
    <sheet name="Distribution and Relationship" sheetId="4" r:id="rId3"/>
    <sheet name="Logarithmic Scale" sheetId="5" r:id="rId4"/>
    <sheet name="Trend Line" sheetId="6" r:id="rId5"/>
  </sheets>
  <definedNames>
    <definedName name="_xlchart.v1.0" hidden="1">'Sales Data'!$D$1</definedName>
    <definedName name="_xlchart.v1.1" hidden="1">'Sales Data'!$D$2:$D$37</definedName>
    <definedName name="Slicer_Outlet_Type">#N/A</definedName>
  </definedNames>
  <calcPr calcId="191029"/>
  <pivotCaches>
    <pivotCache cacheId="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9" l="1"/>
  <c r="C16" i="9"/>
  <c r="C14" i="9"/>
  <c r="D14" i="9"/>
  <c r="E14" i="9"/>
  <c r="E16" i="9"/>
  <c r="D15" i="9"/>
  <c r="E15" i="9"/>
  <c r="D16" i="9"/>
</calcChain>
</file>

<file path=xl/sharedStrings.xml><?xml version="1.0" encoding="utf-8"?>
<sst xmlns="http://schemas.openxmlformats.org/spreadsheetml/2006/main" count="94" uniqueCount="36">
  <si>
    <t>Outlet Type</t>
  </si>
  <si>
    <t>Advertising Spend</t>
  </si>
  <si>
    <t>Sales</t>
  </si>
  <si>
    <t>Kiosk</t>
  </si>
  <si>
    <t>Store</t>
  </si>
  <si>
    <t>Online</t>
  </si>
  <si>
    <t>Number of Transactions</t>
  </si>
  <si>
    <t>Date</t>
  </si>
  <si>
    <t>Group Data Distribution</t>
  </si>
  <si>
    <t xml:space="preserve">The transaction range that occurs often is 90 to 590. </t>
  </si>
  <si>
    <t>The transaction range of 5090 to 5590 would have to be looked into as it is an outlier which will skew the data. Taking into considering the fact it was a single bulk sale, we would have to know what products were sold, seasonality and whether it generated profit.</t>
  </si>
  <si>
    <t>There's a positive relationship between Advertising Spend and Sales with variation.</t>
  </si>
  <si>
    <t>Sales less than $150 000, the higher the advertising spend, the higher the sales. Sales starting from $200,000 have a variation and doesn't guarantee higher sales as the spend increases. Factors that need to be considered are, the type of product sold, store location, foot/online traffic, customer rating and customer conversion rate.</t>
  </si>
  <si>
    <t>Grand Total</t>
  </si>
  <si>
    <t>Jan</t>
  </si>
  <si>
    <t>Feb</t>
  </si>
  <si>
    <t>Mar</t>
  </si>
  <si>
    <t>Apr</t>
  </si>
  <si>
    <t>May</t>
  </si>
  <si>
    <t>Jun</t>
  </si>
  <si>
    <t>Jul</t>
  </si>
  <si>
    <t>Aug</t>
  </si>
  <si>
    <t>Sep</t>
  </si>
  <si>
    <t>Oct</t>
  </si>
  <si>
    <t>Nov</t>
  </si>
  <si>
    <t>Dec</t>
  </si>
  <si>
    <t>Total Sales</t>
  </si>
  <si>
    <t>Date (Month)</t>
  </si>
  <si>
    <t>Forecast(Sales)</t>
  </si>
  <si>
    <t>Lower Confidence Bound(Sales)</t>
  </si>
  <si>
    <t>Upper Confidence Bound(Sales)</t>
  </si>
  <si>
    <t>Advertising Spend is asociated with higher sales for Store and Kiosk; Stores requires an audit on why their campaign are not performing consistently.</t>
  </si>
  <si>
    <t>The general direction of the forecast is upward, but the lower confidence intervals suggests its possible we can end the quarter lower.</t>
  </si>
  <si>
    <t>Store and Kiosk are moving at an upward direction, and Online is flat.</t>
  </si>
  <si>
    <t>The trend line is increasing for online sales.</t>
  </si>
  <si>
    <t>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</si>
</sst>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quot;$&quot;#,##0"/>
  </numFmts>
  <fonts count="4">
    <font>
      <sz val="11"/>
      <name val="Carlito"/>
    </font>
    <font>
      <b/>
      <sz val="11"/>
      <color rgb="FFFFFFFF"/>
      <name val="Carlito"/>
    </font>
    <font>
      <i/>
      <sz val="11"/>
      <name val="Carlito"/>
    </font>
    <font>
      <b/>
      <sz val="14"/>
      <color rgb="FFFFFFFF"/>
      <name val="Carlito"/>
    </font>
  </fonts>
  <fills count="4">
    <fill>
      <patternFill patternType="none"/>
    </fill>
    <fill>
      <patternFill patternType="gray125"/>
    </fill>
    <fill>
      <patternFill patternType="solid">
        <fgColor rgb="FF1F4E78"/>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4" fontId="0" fillId="0" borderId="0" xfId="0" applyNumberFormat="1"/>
    <xf numFmtId="0" fontId="1" fillId="2" borderId="0" xfId="0" applyFont="1" applyFill="1" applyAlignment="1">
      <alignment horizontal="left" vertical="center" wrapText="1"/>
    </xf>
    <xf numFmtId="0" fontId="2" fillId="0" borderId="0" xfId="0" applyFont="1"/>
    <xf numFmtId="0" fontId="3" fillId="3" borderId="0" xfId="0" applyFont="1" applyFill="1"/>
    <xf numFmtId="0" fontId="0" fillId="3" borderId="0" xfId="0" applyFill="1"/>
    <xf numFmtId="0" fontId="1" fillId="2" borderId="0" xfId="0" applyFont="1" applyFill="1" applyAlignment="1">
      <alignment horizontal="left" vertical="center"/>
    </xf>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wrapText="1"/>
    </xf>
    <xf numFmtId="0" fontId="0" fillId="0" borderId="0" xfId="0"/>
  </cellXfs>
  <cellStyles count="1">
    <cellStyle name="Normal" xfId="0" builtinId="0"/>
  </cellStyles>
  <dxfs count="8">
    <dxf>
      <numFmt numFmtId="165" formatCode="&quot;$&quot;#,##0"/>
    </dxf>
    <dxf>
      <numFmt numFmtId="165" formatCode="&quot;$&quot;#,##0"/>
    </dxf>
    <dxf>
      <numFmt numFmtId="165" formatCode="&quot;$&quot;#,##0"/>
    </dxf>
    <dxf>
      <numFmt numFmtId="19" formatCode="m/d/yyyy"/>
    </dxf>
    <dxf>
      <numFmt numFmtId="165" formatCode="&quot;$&quot;#,##0"/>
    </dxf>
    <dxf>
      <numFmt numFmtId="3" formatCode="#,##0"/>
    </dxf>
    <dxf>
      <numFmt numFmtId="166" formatCode="dd/mm/yyyy"/>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25294664253925"/>
          <c:y val="2.3777141493676927E-2"/>
          <c:w val="0.87574705335746073"/>
          <c:h val="0.6478736748815489"/>
        </c:manualLayout>
      </c:layout>
      <c:lineChart>
        <c:grouping val="standard"/>
        <c:varyColors val="0"/>
        <c:ser>
          <c:idx val="0"/>
          <c:order val="0"/>
          <c:tx>
            <c:strRef>
              <c:f>Forecasting!$B$1</c:f>
              <c:strCache>
                <c:ptCount val="1"/>
                <c:pt idx="0">
                  <c:v>Sales</c:v>
                </c:pt>
              </c:strCache>
            </c:strRef>
          </c:tx>
          <c:spPr>
            <a:ln w="28575" cap="rnd">
              <a:solidFill>
                <a:schemeClr val="accent1"/>
              </a:solidFill>
              <a:round/>
            </a:ln>
            <a:effectLst/>
          </c:spPr>
          <c:marker>
            <c:symbol val="none"/>
          </c:marker>
          <c:val>
            <c:numRef>
              <c:f>Forecasting!$B$2:$B$16</c:f>
              <c:numCache>
                <c:formatCode>"$"#,##0</c:formatCode>
                <c:ptCount val="15"/>
                <c:pt idx="0">
                  <c:v>78366.666666666672</c:v>
                </c:pt>
                <c:pt idx="1">
                  <c:v>76300</c:v>
                </c:pt>
                <c:pt idx="2">
                  <c:v>79233.333333333328</c:v>
                </c:pt>
                <c:pt idx="3">
                  <c:v>77333.333333333328</c:v>
                </c:pt>
                <c:pt idx="4">
                  <c:v>79733.333333333328</c:v>
                </c:pt>
                <c:pt idx="5">
                  <c:v>80900</c:v>
                </c:pt>
                <c:pt idx="6">
                  <c:v>81533.333333333328</c:v>
                </c:pt>
                <c:pt idx="7">
                  <c:v>80133.333333333328</c:v>
                </c:pt>
                <c:pt idx="8">
                  <c:v>83800</c:v>
                </c:pt>
                <c:pt idx="9">
                  <c:v>85400</c:v>
                </c:pt>
                <c:pt idx="10">
                  <c:v>87100</c:v>
                </c:pt>
                <c:pt idx="11">
                  <c:v>88000</c:v>
                </c:pt>
              </c:numCache>
            </c:numRef>
          </c:val>
          <c:smooth val="0"/>
          <c:extLst>
            <c:ext xmlns:c16="http://schemas.microsoft.com/office/drawing/2014/chart" uri="{C3380CC4-5D6E-409C-BE32-E72D297353CC}">
              <c16:uniqueId val="{00000000-AA5C-4C23-9E88-15A6F61C69A6}"/>
            </c:ext>
          </c:extLst>
        </c:ser>
        <c:ser>
          <c:idx val="1"/>
          <c:order val="1"/>
          <c:tx>
            <c:strRef>
              <c:f>Forecasting!$C$1</c:f>
              <c:strCache>
                <c:ptCount val="1"/>
                <c:pt idx="0">
                  <c:v>Forecast(Sales)</c:v>
                </c:pt>
              </c:strCache>
            </c:strRef>
          </c:tx>
          <c:spPr>
            <a:ln w="25400" cap="rnd">
              <a:solidFill>
                <a:schemeClr val="accent2"/>
              </a:solidFill>
              <a:round/>
            </a:ln>
            <a:effectLst/>
          </c:spPr>
          <c:marker>
            <c:symbol val="none"/>
          </c:marker>
          <c:cat>
            <c:numRef>
              <c:f>Forecasting!$A$2:$A$16</c:f>
              <c:numCache>
                <c:formatCode>m/d/yyyy</c:formatCode>
                <c:ptCount val="15"/>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numCache>
            </c:numRef>
          </c:cat>
          <c:val>
            <c:numRef>
              <c:f>Forecasting!$C$2:$C$16</c:f>
              <c:numCache>
                <c:formatCode>General</c:formatCode>
                <c:ptCount val="15"/>
                <c:pt idx="11" formatCode="&quot;$&quot;#,##0">
                  <c:v>88000</c:v>
                </c:pt>
                <c:pt idx="12" formatCode="&quot;$&quot;#,##0">
                  <c:v>88187.400635884158</c:v>
                </c:pt>
                <c:pt idx="13" formatCode="&quot;$&quot;#,##0">
                  <c:v>89160.717399122019</c:v>
                </c:pt>
                <c:pt idx="14" formatCode="&quot;$&quot;#,##0">
                  <c:v>90134.03416235988</c:v>
                </c:pt>
              </c:numCache>
            </c:numRef>
          </c:val>
          <c:smooth val="0"/>
          <c:extLst>
            <c:ext xmlns:c16="http://schemas.microsoft.com/office/drawing/2014/chart" uri="{C3380CC4-5D6E-409C-BE32-E72D297353CC}">
              <c16:uniqueId val="{00000001-AA5C-4C23-9E88-15A6F61C69A6}"/>
            </c:ext>
          </c:extLst>
        </c:ser>
        <c:ser>
          <c:idx val="2"/>
          <c:order val="2"/>
          <c:tx>
            <c:strRef>
              <c:f>Forecasting!$D$1</c:f>
              <c:strCache>
                <c:ptCount val="1"/>
                <c:pt idx="0">
                  <c:v>Lower Confidence Bound(Sales)</c:v>
                </c:pt>
              </c:strCache>
            </c:strRef>
          </c:tx>
          <c:spPr>
            <a:ln w="12700" cap="rnd">
              <a:solidFill>
                <a:srgbClr val="E97132"/>
              </a:solidFill>
              <a:prstDash val="solid"/>
              <a:round/>
            </a:ln>
            <a:effectLst/>
          </c:spPr>
          <c:marker>
            <c:symbol val="none"/>
          </c:marker>
          <c:cat>
            <c:numRef>
              <c:f>Forecasting!$A$2:$A$16</c:f>
              <c:numCache>
                <c:formatCode>m/d/yyyy</c:formatCode>
                <c:ptCount val="15"/>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numCache>
            </c:numRef>
          </c:cat>
          <c:val>
            <c:numRef>
              <c:f>Forecasting!$D$2:$D$16</c:f>
              <c:numCache>
                <c:formatCode>General</c:formatCode>
                <c:ptCount val="15"/>
                <c:pt idx="11" formatCode="&quot;$&quot;#,##0">
                  <c:v>88000</c:v>
                </c:pt>
                <c:pt idx="12" formatCode="&quot;$&quot;#,##0">
                  <c:v>84896.530496856722</c:v>
                </c:pt>
                <c:pt idx="13" formatCode="&quot;$&quot;#,##0">
                  <c:v>85767.766447973278</c:v>
                </c:pt>
                <c:pt idx="14" formatCode="&quot;$&quot;#,##0">
                  <c:v>86641.205302470727</c:v>
                </c:pt>
              </c:numCache>
            </c:numRef>
          </c:val>
          <c:smooth val="0"/>
          <c:extLst>
            <c:ext xmlns:c16="http://schemas.microsoft.com/office/drawing/2014/chart" uri="{C3380CC4-5D6E-409C-BE32-E72D297353CC}">
              <c16:uniqueId val="{00000002-AA5C-4C23-9E88-15A6F61C69A6}"/>
            </c:ext>
          </c:extLst>
        </c:ser>
        <c:ser>
          <c:idx val="3"/>
          <c:order val="3"/>
          <c:tx>
            <c:strRef>
              <c:f>Forecasting!$E$1</c:f>
              <c:strCache>
                <c:ptCount val="1"/>
                <c:pt idx="0">
                  <c:v>Upper Confidence Bound(Sales)</c:v>
                </c:pt>
              </c:strCache>
            </c:strRef>
          </c:tx>
          <c:spPr>
            <a:ln w="12700" cap="rnd">
              <a:solidFill>
                <a:srgbClr val="E97132"/>
              </a:solidFill>
              <a:prstDash val="solid"/>
              <a:round/>
            </a:ln>
            <a:effectLst/>
          </c:spPr>
          <c:marker>
            <c:symbol val="none"/>
          </c:marker>
          <c:cat>
            <c:numRef>
              <c:f>Forecasting!$A$2:$A$16</c:f>
              <c:numCache>
                <c:formatCode>m/d/yyyy</c:formatCode>
                <c:ptCount val="15"/>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numCache>
            </c:numRef>
          </c:cat>
          <c:val>
            <c:numRef>
              <c:f>Forecasting!$E$2:$E$16</c:f>
              <c:numCache>
                <c:formatCode>General</c:formatCode>
                <c:ptCount val="15"/>
                <c:pt idx="11" formatCode="&quot;$&quot;#,##0">
                  <c:v>88000</c:v>
                </c:pt>
                <c:pt idx="12" formatCode="&quot;$&quot;#,##0">
                  <c:v>91478.270774911594</c:v>
                </c:pt>
                <c:pt idx="13" formatCode="&quot;$&quot;#,##0">
                  <c:v>92553.66835027076</c:v>
                </c:pt>
                <c:pt idx="14" formatCode="&quot;$&quot;#,##0">
                  <c:v>93626.863022249032</c:v>
                </c:pt>
              </c:numCache>
            </c:numRef>
          </c:val>
          <c:smooth val="0"/>
          <c:extLst>
            <c:ext xmlns:c16="http://schemas.microsoft.com/office/drawing/2014/chart" uri="{C3380CC4-5D6E-409C-BE32-E72D297353CC}">
              <c16:uniqueId val="{00000003-AA5C-4C23-9E88-15A6F61C69A6}"/>
            </c:ext>
          </c:extLst>
        </c:ser>
        <c:dLbls>
          <c:showLegendKey val="0"/>
          <c:showVal val="0"/>
          <c:showCatName val="0"/>
          <c:showSerName val="0"/>
          <c:showPercent val="0"/>
          <c:showBubbleSize val="0"/>
        </c:dLbls>
        <c:smooth val="0"/>
        <c:axId val="1284733599"/>
        <c:axId val="1284734079"/>
      </c:lineChart>
      <c:catAx>
        <c:axId val="128473359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34079"/>
        <c:crosses val="autoZero"/>
        <c:auto val="1"/>
        <c:lblAlgn val="ctr"/>
        <c:lblOffset val="100"/>
        <c:noMultiLvlLbl val="0"/>
      </c:catAx>
      <c:valAx>
        <c:axId val="1284734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33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Advertising Spend vs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'Sales Data'!$E$1</c:f>
              <c:strCache>
                <c:ptCount val="1"/>
                <c:pt idx="0">
                  <c:v>Sales</c:v>
                </c:pt>
              </c:strCache>
            </c:strRef>
          </c:tx>
          <c:spPr>
            <a:ln w="25400" cap="flat" cmpd="sng" algn="ctr">
              <a:noFill/>
              <a:prstDash val="sysDot"/>
              <a:round/>
            </a:ln>
            <a:effectLst/>
          </c:spPr>
          <c:marker>
            <c:symbol val="circle"/>
            <c:size val="5"/>
            <c:spPr>
              <a:solidFill>
                <a:schemeClr val="dk1"/>
              </a:solidFill>
              <a:ln w="9525" cap="flat" cmpd="sng" algn="ctr">
                <a:solidFill>
                  <a:schemeClr val="accent1">
                    <a:shade val="95000"/>
                  </a:schemeClr>
                </a:solidFill>
                <a:round/>
              </a:ln>
              <a:effectLst/>
            </c:spPr>
          </c:marker>
          <c:xVal>
            <c:numRef>
              <c:f>'Sales Data'!$C$2:$C$37</c:f>
              <c:numCache>
                <c:formatCode>\$#,##0</c:formatCode>
                <c:ptCount val="36"/>
                <c:pt idx="0">
                  <c:v>400</c:v>
                </c:pt>
                <c:pt idx="1">
                  <c:v>2800</c:v>
                </c:pt>
                <c:pt idx="2">
                  <c:v>30100</c:v>
                </c:pt>
                <c:pt idx="3">
                  <c:v>250</c:v>
                </c:pt>
                <c:pt idx="4">
                  <c:v>4800</c:v>
                </c:pt>
                <c:pt idx="5">
                  <c:v>23150</c:v>
                </c:pt>
                <c:pt idx="6">
                  <c:v>400</c:v>
                </c:pt>
                <c:pt idx="7">
                  <c:v>3750</c:v>
                </c:pt>
                <c:pt idx="8">
                  <c:v>40150</c:v>
                </c:pt>
                <c:pt idx="9">
                  <c:v>300</c:v>
                </c:pt>
                <c:pt idx="10">
                  <c:v>6200</c:v>
                </c:pt>
                <c:pt idx="11">
                  <c:v>29500</c:v>
                </c:pt>
                <c:pt idx="12">
                  <c:v>550</c:v>
                </c:pt>
                <c:pt idx="13">
                  <c:v>3950</c:v>
                </c:pt>
                <c:pt idx="14">
                  <c:v>38050</c:v>
                </c:pt>
                <c:pt idx="15">
                  <c:v>400</c:v>
                </c:pt>
                <c:pt idx="16">
                  <c:v>5750</c:v>
                </c:pt>
                <c:pt idx="17">
                  <c:v>55050</c:v>
                </c:pt>
                <c:pt idx="18">
                  <c:v>500</c:v>
                </c:pt>
                <c:pt idx="19">
                  <c:v>7400</c:v>
                </c:pt>
                <c:pt idx="20">
                  <c:v>32000</c:v>
                </c:pt>
                <c:pt idx="21">
                  <c:v>750</c:v>
                </c:pt>
                <c:pt idx="22">
                  <c:v>5300</c:v>
                </c:pt>
                <c:pt idx="23">
                  <c:v>52450</c:v>
                </c:pt>
                <c:pt idx="24">
                  <c:v>450</c:v>
                </c:pt>
                <c:pt idx="25">
                  <c:v>7600</c:v>
                </c:pt>
                <c:pt idx="26">
                  <c:v>46150</c:v>
                </c:pt>
                <c:pt idx="27">
                  <c:v>700</c:v>
                </c:pt>
                <c:pt idx="28">
                  <c:v>6500</c:v>
                </c:pt>
                <c:pt idx="29">
                  <c:v>66350</c:v>
                </c:pt>
                <c:pt idx="30">
                  <c:v>600</c:v>
                </c:pt>
                <c:pt idx="31">
                  <c:v>10550</c:v>
                </c:pt>
                <c:pt idx="32">
                  <c:v>45650</c:v>
                </c:pt>
                <c:pt idx="33">
                  <c:v>850</c:v>
                </c:pt>
                <c:pt idx="34">
                  <c:v>8350</c:v>
                </c:pt>
                <c:pt idx="35">
                  <c:v>65950</c:v>
                </c:pt>
              </c:numCache>
            </c:numRef>
          </c:xVal>
          <c:yVal>
            <c:numRef>
              <c:f>'Sales Data'!$E$2:$E$37</c:f>
              <c:numCache>
                <c:formatCode>"$"#,##0</c:formatCode>
                <c:ptCount val="36"/>
                <c:pt idx="0">
                  <c:v>2600</c:v>
                </c:pt>
                <c:pt idx="1">
                  <c:v>22400</c:v>
                </c:pt>
                <c:pt idx="2">
                  <c:v>210100</c:v>
                </c:pt>
                <c:pt idx="3">
                  <c:v>2800</c:v>
                </c:pt>
                <c:pt idx="4">
                  <c:v>21800</c:v>
                </c:pt>
                <c:pt idx="5">
                  <c:v>204300</c:v>
                </c:pt>
                <c:pt idx="6">
                  <c:v>2900</c:v>
                </c:pt>
                <c:pt idx="7">
                  <c:v>26700</c:v>
                </c:pt>
                <c:pt idx="8">
                  <c:v>208100</c:v>
                </c:pt>
                <c:pt idx="9">
                  <c:v>3200</c:v>
                </c:pt>
                <c:pt idx="10">
                  <c:v>25600</c:v>
                </c:pt>
                <c:pt idx="11">
                  <c:v>203200</c:v>
                </c:pt>
                <c:pt idx="12">
                  <c:v>3400</c:v>
                </c:pt>
                <c:pt idx="13">
                  <c:v>30300</c:v>
                </c:pt>
                <c:pt idx="14">
                  <c:v>205500</c:v>
                </c:pt>
                <c:pt idx="15">
                  <c:v>3900</c:v>
                </c:pt>
                <c:pt idx="16">
                  <c:v>30500</c:v>
                </c:pt>
                <c:pt idx="17">
                  <c:v>208300</c:v>
                </c:pt>
                <c:pt idx="18">
                  <c:v>4100</c:v>
                </c:pt>
                <c:pt idx="19">
                  <c:v>36400</c:v>
                </c:pt>
                <c:pt idx="20">
                  <c:v>204100</c:v>
                </c:pt>
                <c:pt idx="21">
                  <c:v>4000</c:v>
                </c:pt>
                <c:pt idx="22">
                  <c:v>33400</c:v>
                </c:pt>
                <c:pt idx="23">
                  <c:v>203000</c:v>
                </c:pt>
                <c:pt idx="24">
                  <c:v>4800</c:v>
                </c:pt>
                <c:pt idx="25">
                  <c:v>39600</c:v>
                </c:pt>
                <c:pt idx="26">
                  <c:v>207000</c:v>
                </c:pt>
                <c:pt idx="27">
                  <c:v>4700</c:v>
                </c:pt>
                <c:pt idx="28">
                  <c:v>42200</c:v>
                </c:pt>
                <c:pt idx="29">
                  <c:v>209300</c:v>
                </c:pt>
                <c:pt idx="30">
                  <c:v>5500</c:v>
                </c:pt>
                <c:pt idx="31">
                  <c:v>44600</c:v>
                </c:pt>
                <c:pt idx="32">
                  <c:v>211200</c:v>
                </c:pt>
                <c:pt idx="33">
                  <c:v>6100</c:v>
                </c:pt>
                <c:pt idx="34">
                  <c:v>52500</c:v>
                </c:pt>
                <c:pt idx="35">
                  <c:v>205400</c:v>
                </c:pt>
              </c:numCache>
            </c:numRef>
          </c:yVal>
          <c:smooth val="0"/>
          <c:extLst>
            <c:ext xmlns:c16="http://schemas.microsoft.com/office/drawing/2014/chart" uri="{C3380CC4-5D6E-409C-BE32-E72D297353CC}">
              <c16:uniqueId val="{00000000-AADB-466A-9D8D-410270B4F07E}"/>
            </c:ext>
          </c:extLst>
        </c:ser>
        <c:dLbls>
          <c:showLegendKey val="0"/>
          <c:showVal val="0"/>
          <c:showCatName val="0"/>
          <c:showSerName val="0"/>
          <c:showPercent val="0"/>
          <c:showBubbleSize val="0"/>
        </c:dLbls>
        <c:axId val="817340159"/>
        <c:axId val="817354079"/>
      </c:scatterChart>
      <c:valAx>
        <c:axId val="81734015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Advertising</a:t>
                </a:r>
                <a:r>
                  <a:rPr lang="en-US" baseline="0"/>
                  <a:t> Spend</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817354079"/>
        <c:crosses val="autoZero"/>
        <c:crossBetween val="midCat"/>
      </c:valAx>
      <c:valAx>
        <c:axId val="817354079"/>
        <c:scaling>
          <c:orientation val="minMax"/>
        </c:scaling>
        <c:delete val="0"/>
        <c:axPos val="l"/>
        <c:majorGridlines>
          <c:spPr>
            <a:ln w="9525" cap="flat" cmpd="sng" algn="ctr">
              <a:solidFill>
                <a:schemeClr val="dk1">
                  <a:lumMod val="15000"/>
                  <a:lumOff val="85000"/>
                </a:schemeClr>
              </a:solidFill>
              <a:round/>
            </a:ln>
            <a:effectLst/>
          </c:spPr>
        </c:majorGridlines>
        <c:numFmt formatCode="&quot;$&quot;#,##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817340159"/>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[02_07_visualising_data_challenge.xlsx]Logarithmic Scale!PivotTable1</c:name>
    <c:fmtId val="3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'Logarithmic Scale'!$B$3:$B$4</c:f>
              <c:strCache>
                <c:ptCount val="1"/>
                <c:pt idx="0">
                  <c:v>Kiosk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'Logarithmic Scale'!$A$5:$A$17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'Logarithmic Scale'!$B$5:$B$17</c:f>
              <c:numCache>
                <c:formatCode>"$"#,##0</c:formatCode>
                <c:ptCount val="12"/>
                <c:pt idx="0">
                  <c:v>2600</c:v>
                </c:pt>
                <c:pt idx="1">
                  <c:v>2800</c:v>
                </c:pt>
                <c:pt idx="2">
                  <c:v>2900</c:v>
                </c:pt>
                <c:pt idx="3">
                  <c:v>3200</c:v>
                </c:pt>
                <c:pt idx="4">
                  <c:v>3400</c:v>
                </c:pt>
                <c:pt idx="5">
                  <c:v>3900</c:v>
                </c:pt>
                <c:pt idx="6">
                  <c:v>4100</c:v>
                </c:pt>
                <c:pt idx="7">
                  <c:v>4000</c:v>
                </c:pt>
                <c:pt idx="8">
                  <c:v>4800</c:v>
                </c:pt>
                <c:pt idx="9">
                  <c:v>4700</c:v>
                </c:pt>
                <c:pt idx="10">
                  <c:v>5500</c:v>
                </c:pt>
                <c:pt idx="11">
                  <c:v>6100</c:v>
                </c:pt>
              </c:numCache>
            </c:numRef>
          </c:val>
          <c:smooth val="0"/>
          <c:extLst>
            <c:ext xmlns:c16="http://schemas.microsoft.com/office/drawing/2014/chart" uri="{C3380CC4-5D6E-409C-BE32-E72D297353CC}">
              <c16:uniqueId val="{00000000-2AF8-433F-AAFB-225FC887B0FD}"/>
            </c:ext>
          </c:extLst>
        </c:ser>
        <c:ser>
          <c:idx val="1"/>
          <c:order val="1"/>
          <c:tx>
            <c:strRef>
              <c:f>'Logarithmic Scale'!$C$3:$C$4</c:f>
              <c:strCache>
                <c:ptCount val="1"/>
                <c:pt idx="0">
                  <c:v>Online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'Logarithmic Scale'!$A$5:$A$17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'Logarithmic Scale'!$C$5:$C$17</c:f>
              <c:numCache>
                <c:formatCode>"$"#,##0</c:formatCode>
                <c:ptCount val="12"/>
                <c:pt idx="0">
                  <c:v>210100</c:v>
                </c:pt>
                <c:pt idx="1">
                  <c:v>204300</c:v>
                </c:pt>
                <c:pt idx="2">
                  <c:v>208100</c:v>
                </c:pt>
                <c:pt idx="3">
                  <c:v>203200</c:v>
                </c:pt>
                <c:pt idx="4">
                  <c:v>205500</c:v>
                </c:pt>
                <c:pt idx="5">
                  <c:v>208300</c:v>
                </c:pt>
                <c:pt idx="6">
                  <c:v>204100</c:v>
                </c:pt>
                <c:pt idx="7">
                  <c:v>203000</c:v>
                </c:pt>
                <c:pt idx="8">
                  <c:v>207000</c:v>
                </c:pt>
                <c:pt idx="9">
                  <c:v>209300</c:v>
                </c:pt>
                <c:pt idx="10">
                  <c:v>211200</c:v>
                </c:pt>
                <c:pt idx="11">
                  <c:v>205400</c:v>
                </c:pt>
              </c:numCache>
            </c:numRef>
          </c:val>
          <c:smooth val="0"/>
          <c:extLst>
            <c:ext xmlns:c16="http://schemas.microsoft.com/office/drawing/2014/chart" uri="{C3380CC4-5D6E-409C-BE32-E72D297353CC}">
              <c16:uniqueId val="{00000001-2AF8-433F-AAFB-225FC887B0FD}"/>
            </c:ext>
          </c:extLst>
        </c:ser>
        <c:ser>
          <c:idx val="2"/>
          <c:order val="2"/>
          <c:tx>
            <c:strRef>
              <c:f>'Logarithmic Scale'!$D$3:$D$4</c:f>
              <c:strCache>
                <c:ptCount val="1"/>
                <c:pt idx="0">
                  <c:v>Store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'Logarithmic Scale'!$A$5:$A$17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'Logarithmic Scale'!$D$5:$D$17</c:f>
              <c:numCache>
                <c:formatCode>"$"#,##0</c:formatCode>
                <c:ptCount val="12"/>
                <c:pt idx="0">
                  <c:v>22400</c:v>
                </c:pt>
                <c:pt idx="1">
                  <c:v>21800</c:v>
                </c:pt>
                <c:pt idx="2">
                  <c:v>26700</c:v>
                </c:pt>
                <c:pt idx="3">
                  <c:v>25600</c:v>
                </c:pt>
                <c:pt idx="4">
                  <c:v>30300</c:v>
                </c:pt>
                <c:pt idx="5">
                  <c:v>30500</c:v>
                </c:pt>
                <c:pt idx="6">
                  <c:v>36400</c:v>
                </c:pt>
                <c:pt idx="7">
                  <c:v>33400</c:v>
                </c:pt>
                <c:pt idx="8">
                  <c:v>39600</c:v>
                </c:pt>
                <c:pt idx="9">
                  <c:v>42200</c:v>
                </c:pt>
                <c:pt idx="10">
                  <c:v>44600</c:v>
                </c:pt>
                <c:pt idx="11">
                  <c:v>52500</c:v>
                </c:pt>
              </c:numCache>
            </c:numRef>
          </c:val>
          <c:smooth val="0"/>
          <c:extLst>
            <c:ext xmlns:c16="http://schemas.microsoft.com/office/drawing/2014/chart" uri="{C3380CC4-5D6E-409C-BE32-E72D297353CC}">
              <c16:uniqueId val="{00000002-2AF8-433F-AAFB-225FC887B0FD}"/>
            </c:ext>
          </c:extLst>
        </c:ser>
        <c:dLbls>
          <c:showLegendKey val="0"/>
          <c:showVal val="0"/>
          <c:showCatName val="0"/>
          <c:showSerName val="0"/>
          <c:showPercent val="0"/>
          <c:showBubbleSize val="0"/>
        </c:dLbls>
        <c:marker val="1"/>
        <c:smooth val="0"/>
        <c:axId val="867441775"/>
        <c:axId val="867445615"/>
      </c:lineChart>
      <c:catAx>
        <c:axId val="8674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445615"/>
        <c:crosses val="autoZero"/>
        <c:auto val="1"/>
        <c:lblAlgn val="ctr"/>
        <c:lblOffset val="100"/>
        <c:noMultiLvlLbl val="0"/>
      </c:catAx>
      <c:valAx>
        <c:axId val="86744561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44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[02_07_visualising_data_challenge.xlsx]Trend Line!PivotTable2</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Line'!$B$1:$B$2</c:f>
              <c:strCache>
                <c:ptCount val="1"/>
                <c:pt idx="0">
                  <c:v>Online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'Trend Line'!$A$3:$A$15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Line'!$B$3:$B$15</c:f>
              <c:numCache>
                <c:formatCode>"$"#,##0</c:formatCode>
                <c:ptCount val="12"/>
                <c:pt idx="0">
                  <c:v>210100</c:v>
                </c:pt>
                <c:pt idx="1">
                  <c:v>204300</c:v>
                </c:pt>
                <c:pt idx="2">
                  <c:v>208100</c:v>
                </c:pt>
                <c:pt idx="3">
                  <c:v>203200</c:v>
                </c:pt>
                <c:pt idx="4">
                  <c:v>205500</c:v>
                </c:pt>
                <c:pt idx="5">
                  <c:v>208300</c:v>
                </c:pt>
                <c:pt idx="6">
                  <c:v>204100</c:v>
                </c:pt>
                <c:pt idx="7">
                  <c:v>203000</c:v>
                </c:pt>
                <c:pt idx="8">
                  <c:v>207000</c:v>
                </c:pt>
                <c:pt idx="9">
                  <c:v>209300</c:v>
                </c:pt>
                <c:pt idx="10">
                  <c:v>211200</c:v>
                </c:pt>
                <c:pt idx="11">
                  <c:v>205400</c:v>
                </c:pt>
              </c:numCache>
            </c:numRef>
          </c:val>
          <c:smooth val="0"/>
          <c:extLst>
            <c:ext xmlns:c16="http://schemas.microsoft.com/office/drawing/2014/chart" uri="{C3380CC4-5D6E-409C-BE32-E72D297353CC}">
              <c16:uniqueId val="{00000000-3C70-4C4A-A6FF-E0AA2D4C744E}"/>
            </c:ext>
          </c:extLst>
        </c:ser>
        <c:dLbls>
          <c:showLegendKey val="0"/>
          <c:showVal val="0"/>
          <c:showCatName val="0"/>
          <c:showSerName val="0"/>
          <c:showPercent val="0"/>
          <c:showBubbleSize val="0"/>
        </c:dLbls>
        <c:marker val="1"/>
        <c:smooth val="0"/>
        <c:axId val="1286338383"/>
        <c:axId val="1286322063"/>
      </c:lineChart>
      <c:catAx>
        <c:axId val="128633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322063"/>
        <c:crosses val="autoZero"/>
        <c:auto val="1"/>
        <c:lblAlgn val="ctr"/>
        <c:lblOffset val="100"/>
        <c:noMultiLvlLbl val="0"/>
      </c:catAx>
      <c:valAx>
        <c:axId val="1286322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33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Number of Transactions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a:ea typeface="Calibri"/>
              <a:cs typeface="Calibri"/>
            </a:rPr>
            <a:t>Number of Transactions</a:t>
          </a:r>
        </a:p>
      </cx:txPr>
    </cx:title>
    <cx:plotArea>
      <cx:plotAreaRegion>
        <cx:series layoutId="clusteredColumn" uniqueId="{39CAC8CC-17C0-4384-A000-0CFB3763C63C}">
          <cx:tx>
            <cx:txData>
              <cx:f>_xlchart.v1.0</cx:f>
              <cx:v>Number of Transactions</cx:v>
            </cx:txData>
          </cx:tx>
          <cx:dataId val="0"/>
          <cx:layoutPr>
            <cx:binning intervalClosed="r">
              <cx:binSize val="500"/>
            </cx:binning>
          </cx:layoutPr>
        </cx:series>
      </cx:plotAreaRegion>
      <cx:axis id="0">
        <cx:catScaling gapWidth="0"/>
        <cx:tickLabels/>
      </cx:axis>
      <cx:axis id="1">
        <cx:valScaling/>
        <cx:majorGridlines/>
        <cx:tickLabels/>
        <cx:spPr>
          <a:effectLst>
            <a:softEdge rad="101600"/>
          </a:effectLst>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9">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338136</xdr:colOff>
      <xdr:row>22</xdr:row>
      <xdr:rowOff>47624</xdr:rowOff>
    </xdr:from>
    <xdr:to>
      <xdr:col>4</xdr:col>
      <xdr:colOff>2333624</xdr:colOff>
      <xdr:row>41</xdr:row>
      <xdr:rowOff>104774</xdr:rowOff>
    </xdr:to>
    <xdr:graphicFrame macro="">
      <xdr:nvGraphicFramePr>
        <xdr:cNvPr id="2" name="Chart 1">
          <a:extLst>
            <a:ext uri="{FF2B5EF4-FFF2-40B4-BE49-F238E27FC236}">
              <a16:creationId xmlns:a16="http://schemas.microsoft.com/office/drawing/2014/main" id="{A2E5F2A1-9E41-FD5E-16E5-FF5697E64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2</xdr:row>
      <xdr:rowOff>76200</xdr:rowOff>
    </xdr:from>
    <xdr:to>
      <xdr:col>10</xdr:col>
      <xdr:colOff>14288</xdr:colOff>
      <xdr:row>28</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43E255B-01F1-4079-96E3-8F0113420972}"/>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250" y="485775"/>
              <a:ext cx="7948613" cy="4705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685799</xdr:colOff>
      <xdr:row>1</xdr:row>
      <xdr:rowOff>180974</xdr:rowOff>
    </xdr:from>
    <xdr:to>
      <xdr:col>23</xdr:col>
      <xdr:colOff>485775</xdr:colOff>
      <xdr:row>28</xdr:row>
      <xdr:rowOff>47624</xdr:rowOff>
    </xdr:to>
    <xdr:graphicFrame macro="">
      <xdr:nvGraphicFramePr>
        <xdr:cNvPr id="3" name="Chart 2">
          <a:extLst>
            <a:ext uri="{FF2B5EF4-FFF2-40B4-BE49-F238E27FC236}">
              <a16:creationId xmlns:a16="http://schemas.microsoft.com/office/drawing/2014/main" id="{223C7DAF-95C7-424C-9FD4-4F82B1449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24</xdr:col>
      <xdr:colOff>0</xdr:colOff>
      <xdr:row>2</xdr:row>
      <xdr:rowOff>0</xdr:rowOff>
    </xdr:from>
    <xdr:to>
      <xdr:col>26</xdr:col>
      <xdr:colOff>457200</xdr:colOff>
      <xdr:row>9</xdr:row>
      <xdr:rowOff>95250</xdr:rowOff>
    </xdr:to>
    <mc:AlternateContent xmlns:mc="http://schemas.openxmlformats.org/markup-compatibility/2006" xmlns:sle15="http://schemas.microsoft.com/office/drawing/2012/slicer">
      <mc:Choice Requires="sle15">
        <xdr:graphicFrame macro="">
          <xdr:nvGraphicFramePr>
            <xdr:cNvPr id="4" name="Outlet Type">
              <a:extLst>
                <a:ext uri="{FF2B5EF4-FFF2-40B4-BE49-F238E27FC236}">
                  <a16:creationId xmlns:a16="http://schemas.microsoft.com/office/drawing/2014/main" id="{BABCA16F-72BA-4235-94F2-3610921B196A}"/>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7674167" y="412750"/>
              <a:ext cx="1833033" cy="13546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295275</xdr:colOff>
      <xdr:row>0</xdr:row>
      <xdr:rowOff>161924</xdr:rowOff>
    </xdr:from>
    <xdr:to>
      <xdr:col>16</xdr:col>
      <xdr:colOff>295275</xdr:colOff>
      <xdr:row>19</xdr:row>
      <xdr:rowOff>161924</xdr:rowOff>
    </xdr:to>
    <xdr:graphicFrame macro="">
      <xdr:nvGraphicFramePr>
        <xdr:cNvPr id="5" name="Chart 4">
          <a:extLst>
            <a:ext uri="{FF2B5EF4-FFF2-40B4-BE49-F238E27FC236}">
              <a16:creationId xmlns:a16="http://schemas.microsoft.com/office/drawing/2014/main" id="{5E9FC017-7C52-51A6-3A9A-BE4113F4F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695324</xdr:colOff>
      <xdr:row>0</xdr:row>
      <xdr:rowOff>38100</xdr:rowOff>
    </xdr:from>
    <xdr:to>
      <xdr:col>14</xdr:col>
      <xdr:colOff>504824</xdr:colOff>
      <xdr:row>21</xdr:row>
      <xdr:rowOff>9525</xdr:rowOff>
    </xdr:to>
    <xdr:graphicFrame macro="">
      <xdr:nvGraphicFramePr>
        <xdr:cNvPr id="2" name="Chart 1">
          <a:extLst>
            <a:ext uri="{FF2B5EF4-FFF2-40B4-BE49-F238E27FC236}">
              <a16:creationId xmlns:a16="http://schemas.microsoft.com/office/drawing/2014/main" id="{E789AF27-0CFF-9F1F-C955-9E8D99EEB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yolo Nimako" refreshedDate="46242.9789775463" createdVersion="8" refreshedVersion="8" minRefreshableVersion="3" recordCount="36" xr:uid="{13154D72-6991-4C35-960E-A3995FFFC293}">
  <cacheSource type="worksheet">
    <worksheetSource name="SalesData"/>
  </cacheSource>
  <cacheFields count="7">
    <cacheField name="Date" numFmtId="14">
      <sharedItems containsSemiMixedTypes="0" containsNonDate="0" containsDate="1" containsString="0" minDate="2026-01-01T00:00:00" maxDate="2026-12-02T00:00:00" count="12">
        <d v="2026-01-01T00:00:00"/>
        <d v="2026-02-01T00:00:00"/>
        <d v="2026-03-01T00:00:00"/>
        <d v="2026-04-01T00:00:00"/>
        <d v="2026-05-01T00:00:00"/>
        <d v="2026-06-01T00:00:00"/>
        <d v="2026-07-01T00:00:00"/>
        <d v="2026-08-01T00:00:00"/>
        <d v="2026-09-01T00:00:00"/>
        <d v="2026-10-01T00:00:00"/>
        <d v="2026-11-01T00:00:00"/>
        <d v="2026-12-01T00:00:00"/>
      </sharedItems>
      <fieldGroup par="6"/>
    </cacheField>
    <cacheField name="Outlet Type" numFmtId="0">
      <sharedItems count="3">
        <s v="Kiosk"/>
        <s v="Store"/>
        <s v="Online"/>
      </sharedItems>
    </cacheField>
    <cacheField name="Advertising Spend" numFmtId="164">
      <sharedItems containsSemiMixedTypes="0" containsString="0" containsNumber="1" containsInteger="1" minValue="250" maxValue="66350"/>
    </cacheField>
    <cacheField name="Number of Transactions" numFmtId="3">
      <sharedItems containsSemiMixedTypes="0" containsString="0" containsNumber="1" containsInteger="1" minValue="90" maxValue="5160"/>
    </cacheField>
    <cacheField name="Sales" numFmtId="165">
      <sharedItems containsSemiMixedTypes="0" containsString="0" containsNumber="1" containsInteger="1" minValue="2600" maxValue="211200"/>
    </cacheField>
    <cacheField name="Days (Date)" numFmtId="0" databaseField="0">
      <fieldGroup base="0">
        <rangePr groupBy="days" startDate="2026-01-01T00:00:00" endDate="2026-12-02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6"/>
        </groupItems>
      </fieldGroup>
    </cacheField>
    <cacheField name="Months (Date)" numFmtId="0" databaseField="0">
      <fieldGroup base="0">
        <rangePr groupBy="months" startDate="2026-01-01T00:00:00" endDate="2026-12-02T00:00:00"/>
        <groupItems count="14">
          <s v="&lt;1/1/2026"/>
          <s v="Jan"/>
          <s v="Feb"/>
          <s v="Mar"/>
          <s v="Apr"/>
          <s v="May"/>
          <s v="Jun"/>
          <s v="Jul"/>
          <s v="Aug"/>
          <s v="Sep"/>
          <s v="Oct"/>
          <s v="Nov"/>
          <s v="Dec"/>
          <s v="&gt;12/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400"/>
    <n v="100"/>
    <n v="2600"/>
  </r>
  <r>
    <x v="0"/>
    <x v="1"/>
    <n v="2800"/>
    <n v="510"/>
    <n v="22400"/>
  </r>
  <r>
    <x v="0"/>
    <x v="2"/>
    <n v="30100"/>
    <n v="1940"/>
    <n v="210100"/>
  </r>
  <r>
    <x v="1"/>
    <x v="0"/>
    <n v="250"/>
    <n v="90"/>
    <n v="2800"/>
  </r>
  <r>
    <x v="1"/>
    <x v="1"/>
    <n v="4800"/>
    <n v="530"/>
    <n v="21800"/>
  </r>
  <r>
    <x v="1"/>
    <x v="2"/>
    <n v="23150"/>
    <n v="2060"/>
    <n v="204300"/>
  </r>
  <r>
    <x v="2"/>
    <x v="0"/>
    <n v="400"/>
    <n v="110"/>
    <n v="2900"/>
  </r>
  <r>
    <x v="2"/>
    <x v="1"/>
    <n v="3750"/>
    <n v="620"/>
    <n v="26700"/>
  </r>
  <r>
    <x v="2"/>
    <x v="2"/>
    <n v="40150"/>
    <n v="2430"/>
    <n v="208100"/>
  </r>
  <r>
    <x v="3"/>
    <x v="0"/>
    <n v="300"/>
    <n v="110"/>
    <n v="3200"/>
  </r>
  <r>
    <x v="3"/>
    <x v="1"/>
    <n v="6200"/>
    <n v="650"/>
    <n v="25600"/>
  </r>
  <r>
    <x v="3"/>
    <x v="2"/>
    <n v="29500"/>
    <n v="2230"/>
    <n v="203200"/>
  </r>
  <r>
    <x v="4"/>
    <x v="0"/>
    <n v="550"/>
    <n v="120"/>
    <n v="3400"/>
  </r>
  <r>
    <x v="4"/>
    <x v="1"/>
    <n v="3950"/>
    <n v="680"/>
    <n v="30300"/>
  </r>
  <r>
    <x v="4"/>
    <x v="2"/>
    <n v="38050"/>
    <n v="3030"/>
    <n v="205500"/>
  </r>
  <r>
    <x v="5"/>
    <x v="0"/>
    <n v="400"/>
    <n v="160"/>
    <n v="3900"/>
  </r>
  <r>
    <x v="5"/>
    <x v="1"/>
    <n v="5750"/>
    <n v="730"/>
    <n v="30500"/>
  </r>
  <r>
    <x v="5"/>
    <x v="2"/>
    <n v="55050"/>
    <n v="2660"/>
    <n v="208300"/>
  </r>
  <r>
    <x v="6"/>
    <x v="0"/>
    <n v="500"/>
    <n v="130"/>
    <n v="4100"/>
  </r>
  <r>
    <x v="6"/>
    <x v="1"/>
    <n v="7400"/>
    <n v="940"/>
    <n v="36400"/>
  </r>
  <r>
    <x v="6"/>
    <x v="2"/>
    <n v="32000"/>
    <n v="3020"/>
    <n v="204100"/>
  </r>
  <r>
    <x v="7"/>
    <x v="0"/>
    <n v="750"/>
    <n v="150"/>
    <n v="4000"/>
  </r>
  <r>
    <x v="7"/>
    <x v="1"/>
    <n v="5300"/>
    <n v="770"/>
    <n v="33400"/>
  </r>
  <r>
    <x v="7"/>
    <x v="2"/>
    <n v="52450"/>
    <n v="3660"/>
    <n v="203000"/>
  </r>
  <r>
    <x v="8"/>
    <x v="0"/>
    <n v="450"/>
    <n v="170"/>
    <n v="4800"/>
  </r>
  <r>
    <x v="8"/>
    <x v="1"/>
    <n v="7600"/>
    <n v="970"/>
    <n v="39600"/>
  </r>
  <r>
    <x v="8"/>
    <x v="2"/>
    <n v="46150"/>
    <n v="3380"/>
    <n v="207000"/>
  </r>
  <r>
    <x v="9"/>
    <x v="0"/>
    <n v="700"/>
    <n v="160"/>
    <n v="4700"/>
  </r>
  <r>
    <x v="9"/>
    <x v="1"/>
    <n v="6500"/>
    <n v="1000"/>
    <n v="42200"/>
  </r>
  <r>
    <x v="9"/>
    <x v="2"/>
    <n v="66350"/>
    <n v="3920"/>
    <n v="209300"/>
  </r>
  <r>
    <x v="10"/>
    <x v="0"/>
    <n v="600"/>
    <n v="210"/>
    <n v="5500"/>
  </r>
  <r>
    <x v="10"/>
    <x v="1"/>
    <n v="10550"/>
    <n v="1020"/>
    <n v="44600"/>
  </r>
  <r>
    <x v="10"/>
    <x v="2"/>
    <n v="45650"/>
    <n v="4050"/>
    <n v="211200"/>
  </r>
  <r>
    <x v="11"/>
    <x v="0"/>
    <n v="850"/>
    <n v="240"/>
    <n v="6100"/>
  </r>
  <r>
    <x v="11"/>
    <x v="1"/>
    <n v="8350"/>
    <n v="1310"/>
    <n v="52500"/>
  </r>
  <r>
    <x v="11"/>
    <x v="2"/>
    <n v="65950"/>
    <n v="5160"/>
    <n v="205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91935B-C6EC-4BBB-95E4-DAE3DA5B52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Date (Month)" colHeaderCaption="Outlet Type">
  <location ref="A3:E17" firstHeaderRow="1" firstDataRow="2" firstDataCol="1"/>
  <pivotFields count="7">
    <pivotField numFmtId="14" showAll="0">
      <items count="13">
        <item x="0"/>
        <item x="1"/>
        <item x="2"/>
        <item x="3"/>
        <item x="4"/>
        <item x="5"/>
        <item x="6"/>
        <item x="7"/>
        <item x="8"/>
        <item x="9"/>
        <item x="10"/>
        <item x="11"/>
        <item t="default"/>
      </items>
    </pivotField>
    <pivotField axis="axisCol" showAll="0">
      <items count="4">
        <item x="0"/>
        <item x="2"/>
        <item x="1"/>
        <item t="default"/>
      </items>
    </pivotField>
    <pivotField numFmtId="164" showAll="0"/>
    <pivotField numFmtId="3" showAll="0"/>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v="1"/>
    </i>
    <i>
      <x v="2"/>
    </i>
    <i>
      <x v="3"/>
    </i>
    <i>
      <x v="4"/>
    </i>
    <i>
      <x v="5"/>
    </i>
    <i>
      <x v="6"/>
    </i>
    <i>
      <x v="7"/>
    </i>
    <i>
      <x v="8"/>
    </i>
    <i>
      <x v="9"/>
    </i>
    <i>
      <x v="10"/>
    </i>
    <i>
      <x v="11"/>
    </i>
    <i>
      <x v="12"/>
    </i>
    <i t="grand">
      <x/>
    </i>
  </rowItems>
  <colFields count="1">
    <field x="1"/>
  </colFields>
  <colItems count="4">
    <i>
      <x/>
    </i>
    <i>
      <x v="1"/>
    </i>
    <i>
      <x v="2"/>
    </i>
    <i t="grand">
      <x/>
    </i>
  </colItems>
  <dataFields count="1">
    <dataField name="Total Sales" fld="4" baseField="0" baseItem="0" numFmtId="165"/>
  </dataFields>
  <chartFormats count="3">
    <chartFormat chart="30" format="0" series="1">
      <pivotArea type="data" outline="0" fieldPosition="0">
        <references count="2">
          <reference field="4294967294" count="1" selected="0">
            <x v="0"/>
          </reference>
          <reference field="1" count="1" selected="0">
            <x v="0"/>
          </reference>
        </references>
      </pivotArea>
    </chartFormat>
    <chartFormat chart="30" format="1" series="1">
      <pivotArea type="data" outline="0" fieldPosition="0">
        <references count="2">
          <reference field="4294967294" count="1" selected="0">
            <x v="0"/>
          </reference>
          <reference field="1" count="1" selected="0">
            <x v="1"/>
          </reference>
        </references>
      </pivotArea>
    </chartFormat>
    <chartFormat chart="3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394532-68D0-46D4-B18B-8E451A6D06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Date (Month)" colHeaderCaption="Outlet Type">
  <location ref="A1:C15" firstHeaderRow="1" firstDataRow="2" firstDataCol="1"/>
  <pivotFields count="7">
    <pivotField numFmtId="14" showAll="0">
      <items count="13">
        <item x="0"/>
        <item x="1"/>
        <item x="2"/>
        <item x="3"/>
        <item x="4"/>
        <item x="5"/>
        <item x="6"/>
        <item x="7"/>
        <item x="8"/>
        <item x="9"/>
        <item x="10"/>
        <item x="11"/>
        <item t="default"/>
      </items>
    </pivotField>
    <pivotField axis="axisCol" showAll="0">
      <items count="4">
        <item h="1" x="0"/>
        <item x="2"/>
        <item h="1" x="1"/>
        <item t="default"/>
      </items>
    </pivotField>
    <pivotField numFmtId="164" showAll="0"/>
    <pivotField numFmtId="3" showAll="0"/>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v="1"/>
    </i>
    <i>
      <x v="2"/>
    </i>
    <i>
      <x v="3"/>
    </i>
    <i>
      <x v="4"/>
    </i>
    <i>
      <x v="5"/>
    </i>
    <i>
      <x v="6"/>
    </i>
    <i>
      <x v="7"/>
    </i>
    <i>
      <x v="8"/>
    </i>
    <i>
      <x v="9"/>
    </i>
    <i>
      <x v="10"/>
    </i>
    <i>
      <x v="11"/>
    </i>
    <i>
      <x v="12"/>
    </i>
    <i t="grand">
      <x/>
    </i>
  </rowItems>
  <colFields count="1">
    <field x="1"/>
  </colFields>
  <colItems count="2">
    <i>
      <x v="1"/>
    </i>
    <i t="grand">
      <x/>
    </i>
  </colItems>
  <dataFields count="1">
    <dataField name="Total Sales" fld="4" baseField="0" baseItem="0" numFmtId="165"/>
  </dataFields>
  <chartFormats count="15">
    <chartFormat chart="15" format="19" series="1">
      <pivotArea type="data" outline="0" fieldPosition="0">
        <references count="2">
          <reference field="4294967294" count="1" selected="0">
            <x v="0"/>
          </reference>
          <reference field="1" count="1" selected="0">
            <x v="0"/>
          </reference>
        </references>
      </pivotArea>
    </chartFormat>
    <chartFormat chart="15" format="20" series="1">
      <pivotArea type="data" outline="0" fieldPosition="0">
        <references count="2">
          <reference field="4294967294" count="1" selected="0">
            <x v="0"/>
          </reference>
          <reference field="1" count="1" selected="0">
            <x v="1"/>
          </reference>
        </references>
      </pivotArea>
    </chartFormat>
    <chartFormat chart="15" format="21" series="1">
      <pivotArea type="data" outline="0" fieldPosition="0">
        <references count="2">
          <reference field="4294967294" count="1" selected="0">
            <x v="0"/>
          </reference>
          <reference field="1" count="1" selected="0">
            <x v="2"/>
          </reference>
        </references>
      </pivotArea>
    </chartFormat>
    <chartFormat chart="26" format="25" series="1">
      <pivotArea type="data" outline="0" fieldPosition="0">
        <references count="2">
          <reference field="4294967294" count="1" selected="0">
            <x v="0"/>
          </reference>
          <reference field="1" count="1" selected="0">
            <x v="0"/>
          </reference>
        </references>
      </pivotArea>
    </chartFormat>
    <chartFormat chart="26" format="26" series="1">
      <pivotArea type="data" outline="0" fieldPosition="0">
        <references count="2">
          <reference field="4294967294" count="1" selected="0">
            <x v="0"/>
          </reference>
          <reference field="1" count="1" selected="0">
            <x v="1"/>
          </reference>
        </references>
      </pivotArea>
    </chartFormat>
    <chartFormat chart="26" format="27" series="1">
      <pivotArea type="data" outline="0" fieldPosition="0">
        <references count="2">
          <reference field="4294967294" count="1" selected="0">
            <x v="0"/>
          </reference>
          <reference field="1" count="1" selected="0">
            <x v="2"/>
          </reference>
        </references>
      </pivotArea>
    </chartFormat>
    <chartFormat chart="30" format="0" series="1">
      <pivotArea type="data" outline="0" fieldPosition="0">
        <references count="2">
          <reference field="4294967294" count="1" selected="0">
            <x v="0"/>
          </reference>
          <reference field="1" count="1" selected="0">
            <x v="0"/>
          </reference>
        </references>
      </pivotArea>
    </chartFormat>
    <chartFormat chart="30" format="1" series="1">
      <pivotArea type="data" outline="0" fieldPosition="0">
        <references count="2">
          <reference field="4294967294" count="1" selected="0">
            <x v="0"/>
          </reference>
          <reference field="1" count="1" selected="0">
            <x v="1"/>
          </reference>
        </references>
      </pivotArea>
    </chartFormat>
    <chartFormat chart="30" format="2" series="1">
      <pivotArea type="data" outline="0" fieldPosition="0">
        <references count="2">
          <reference field="4294967294" count="1" selected="0">
            <x v="0"/>
          </reference>
          <reference field="1" count="1" selected="0">
            <x v="2"/>
          </reference>
        </references>
      </pivotArea>
    </chartFormat>
    <chartFormat chart="32" format="6" series="1">
      <pivotArea type="data" outline="0" fieldPosition="0">
        <references count="2">
          <reference field="4294967294" count="1" selected="0">
            <x v="0"/>
          </reference>
          <reference field="1" count="1" selected="0">
            <x v="0"/>
          </reference>
        </references>
      </pivotArea>
    </chartFormat>
    <chartFormat chart="32" format="7" series="1">
      <pivotArea type="data" outline="0" fieldPosition="0">
        <references count="2">
          <reference field="4294967294" count="1" selected="0">
            <x v="0"/>
          </reference>
          <reference field="1" count="1" selected="0">
            <x v="1"/>
          </reference>
        </references>
      </pivotArea>
    </chartFormat>
    <chartFormat chart="32" format="8" series="1">
      <pivotArea type="data" outline="0" fieldPosition="0">
        <references count="2">
          <reference field="4294967294" count="1" selected="0">
            <x v="0"/>
          </reference>
          <reference field="1" count="1" selected="0">
            <x v="2"/>
          </reference>
        </references>
      </pivotArea>
    </chartFormat>
    <chartFormat chart="35" format="0" series="1">
      <pivotArea type="data" outline="0" fieldPosition="0">
        <references count="2">
          <reference field="4294967294" count="1" selected="0">
            <x v="0"/>
          </reference>
          <reference field="1" count="1" selected="0">
            <x v="0"/>
          </reference>
        </references>
      </pivotArea>
    </chartFormat>
    <chartFormat chart="35" format="1" series="1">
      <pivotArea type="data" outline="0" fieldPosition="0">
        <references count="2">
          <reference field="4294967294" count="1" selected="0">
            <x v="0"/>
          </reference>
          <reference field="1" count="1" selected="0">
            <x v="1"/>
          </reference>
        </references>
      </pivotArea>
    </chartFormat>
    <chartFormat chart="35"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FADEBDE7-D457-4FC2-9F53-1B9C5AE65AE7}" sourceName="Outlet Typ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10233065-F8A1-4EA3-B309-CC7E24188F08}" cache="Slicer_Outlet_Type" caption="Outlet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E37" headerRowDxfId="7">
  <autoFilter ref="A1:E37" xr:uid="{00000000-000C-0000-FFFF-FFFF00000000}"/>
  <tableColumns count="5">
    <tableColumn id="1" xr3:uid="{00000000-0010-0000-0000-000001000000}" name="Date" dataDxfId="6"/>
    <tableColumn id="2" xr3:uid="{00000000-0010-0000-0000-000002000000}" name="Outlet Type"/>
    <tableColumn id="4" xr3:uid="{00000000-0010-0000-0000-000004000000}" name="Advertising Spend"/>
    <tableColumn id="5" xr3:uid="{00000000-0010-0000-0000-000005000000}" name="Number of Transactions" dataDxfId="5"/>
    <tableColumn id="6" xr3:uid="{00000000-0010-0000-0000-000006000000}" name="Sales"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F4E541-D63C-477A-883E-B2A52EDF2063}" name="Table3" displayName="Table3" ref="A1:E16" totalsRowShown="0">
  <autoFilter ref="A1:E16" xr:uid="{A4F4E541-D63C-477A-883E-B2A52EDF2063}"/>
  <tableColumns count="5">
    <tableColumn id="1" xr3:uid="{96DD5C1E-A2C4-4B03-8F57-6A88BB63754D}" name="Date" dataDxfId="3"/>
    <tableColumn id="2" xr3:uid="{18666800-66D0-4823-A5A6-99DB88080789}" name="Sales"/>
    <tableColumn id="3" xr3:uid="{1540F95D-6B55-41A7-80DA-1182CD15E2C3}" name="Forecast(Sales)" dataDxfId="2"/>
    <tableColumn id="4" xr3:uid="{FCF50D79-A358-44ED-B827-CABEB69888AE}" name="Lower Confidence Bound(Sales)" dataDxfId="1"/>
    <tableColumn id="5" xr3:uid="{F30501E0-9111-4B03-8B67-42D5DF987A37}" name="Upper Confidence Bound(Sale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workbookViewId="0">
      <selection activeCell="B37" sqref="B37"/>
    </sheetView>
  </sheetViews>
  <sheetFormatPr defaultRowHeight="14.25"/>
  <cols>
    <col min="1" max="1" width="9.875" bestFit="1" customWidth="1"/>
    <col min="2" max="2" width="13.25" bestFit="1" customWidth="1"/>
    <col min="3" max="3" width="19.5" bestFit="1" customWidth="1"/>
    <col min="4" max="4" width="24.5" bestFit="1" customWidth="1"/>
    <col min="5" max="5" width="15.25" customWidth="1"/>
  </cols>
  <sheetData>
    <row r="1" spans="1:5" ht="15">
      <c r="A1" s="3" t="s">
        <v>7</v>
      </c>
      <c r="B1" s="3" t="s">
        <v>0</v>
      </c>
      <c r="C1" s="7" t="s">
        <v>1</v>
      </c>
      <c r="D1" s="3" t="s">
        <v>6</v>
      </c>
      <c r="E1" s="3" t="s">
        <v>2</v>
      </c>
    </row>
    <row r="2" spans="1:5">
      <c r="A2" s="2">
        <v>46023</v>
      </c>
      <c r="B2" t="s">
        <v>3</v>
      </c>
      <c r="C2" s="1">
        <v>400</v>
      </c>
      <c r="D2" s="9">
        <v>100</v>
      </c>
      <c r="E2" s="8">
        <v>2600</v>
      </c>
    </row>
    <row r="3" spans="1:5">
      <c r="A3" s="2">
        <v>46023</v>
      </c>
      <c r="B3" t="s">
        <v>4</v>
      </c>
      <c r="C3" s="1">
        <v>2800</v>
      </c>
      <c r="D3" s="9">
        <v>510</v>
      </c>
      <c r="E3" s="8">
        <v>22400</v>
      </c>
    </row>
    <row r="4" spans="1:5">
      <c r="A4" s="2">
        <v>46023</v>
      </c>
      <c r="B4" t="s">
        <v>5</v>
      </c>
      <c r="C4" s="1">
        <v>30100</v>
      </c>
      <c r="D4" s="9">
        <v>1940</v>
      </c>
      <c r="E4" s="8">
        <v>210100</v>
      </c>
    </row>
    <row r="5" spans="1:5">
      <c r="A5" s="2">
        <v>46054</v>
      </c>
      <c r="B5" t="s">
        <v>3</v>
      </c>
      <c r="C5" s="1">
        <v>250</v>
      </c>
      <c r="D5" s="9">
        <v>90</v>
      </c>
      <c r="E5" s="8">
        <v>2800</v>
      </c>
    </row>
    <row r="6" spans="1:5">
      <c r="A6" s="2">
        <v>46054</v>
      </c>
      <c r="B6" t="s">
        <v>4</v>
      </c>
      <c r="C6" s="1">
        <v>4800</v>
      </c>
      <c r="D6" s="9">
        <v>530</v>
      </c>
      <c r="E6" s="8">
        <v>21800</v>
      </c>
    </row>
    <row r="7" spans="1:5">
      <c r="A7" s="2">
        <v>46054</v>
      </c>
      <c r="B7" t="s">
        <v>5</v>
      </c>
      <c r="C7" s="1">
        <v>23150</v>
      </c>
      <c r="D7" s="9">
        <v>2060</v>
      </c>
      <c r="E7" s="8">
        <v>204300</v>
      </c>
    </row>
    <row r="8" spans="1:5">
      <c r="A8" s="2">
        <v>46082</v>
      </c>
      <c r="B8" t="s">
        <v>3</v>
      </c>
      <c r="C8" s="1">
        <v>400</v>
      </c>
      <c r="D8" s="9">
        <v>110</v>
      </c>
      <c r="E8" s="8">
        <v>2900</v>
      </c>
    </row>
    <row r="9" spans="1:5">
      <c r="A9" s="2">
        <v>46082</v>
      </c>
      <c r="B9" t="s">
        <v>4</v>
      </c>
      <c r="C9" s="1">
        <v>3750</v>
      </c>
      <c r="D9" s="9">
        <v>620</v>
      </c>
      <c r="E9" s="8">
        <v>26700</v>
      </c>
    </row>
    <row r="10" spans="1:5">
      <c r="A10" s="2">
        <v>46082</v>
      </c>
      <c r="B10" t="s">
        <v>5</v>
      </c>
      <c r="C10" s="1">
        <v>40150</v>
      </c>
      <c r="D10" s="9">
        <v>2430</v>
      </c>
      <c r="E10" s="8">
        <v>208100</v>
      </c>
    </row>
    <row r="11" spans="1:5">
      <c r="A11" s="2">
        <v>46113</v>
      </c>
      <c r="B11" t="s">
        <v>3</v>
      </c>
      <c r="C11" s="1">
        <v>300</v>
      </c>
      <c r="D11" s="9">
        <v>110</v>
      </c>
      <c r="E11" s="8">
        <v>3200</v>
      </c>
    </row>
    <row r="12" spans="1:5">
      <c r="A12" s="2">
        <v>46113</v>
      </c>
      <c r="B12" t="s">
        <v>4</v>
      </c>
      <c r="C12" s="1">
        <v>6200</v>
      </c>
      <c r="D12" s="9">
        <v>650</v>
      </c>
      <c r="E12" s="8">
        <v>25600</v>
      </c>
    </row>
    <row r="13" spans="1:5">
      <c r="A13" s="2">
        <v>46113</v>
      </c>
      <c r="B13" t="s">
        <v>5</v>
      </c>
      <c r="C13" s="1">
        <v>29500</v>
      </c>
      <c r="D13" s="9">
        <v>2230</v>
      </c>
      <c r="E13" s="8">
        <v>203200</v>
      </c>
    </row>
    <row r="14" spans="1:5">
      <c r="A14" s="2">
        <v>46143</v>
      </c>
      <c r="B14" t="s">
        <v>3</v>
      </c>
      <c r="C14" s="1">
        <v>550</v>
      </c>
      <c r="D14" s="9">
        <v>120</v>
      </c>
      <c r="E14" s="8">
        <v>3400</v>
      </c>
    </row>
    <row r="15" spans="1:5">
      <c r="A15" s="2">
        <v>46143</v>
      </c>
      <c r="B15" t="s">
        <v>4</v>
      </c>
      <c r="C15" s="1">
        <v>3950</v>
      </c>
      <c r="D15" s="9">
        <v>680</v>
      </c>
      <c r="E15" s="8">
        <v>30300</v>
      </c>
    </row>
    <row r="16" spans="1:5">
      <c r="A16" s="2">
        <v>46143</v>
      </c>
      <c r="B16" t="s">
        <v>5</v>
      </c>
      <c r="C16" s="1">
        <v>38050</v>
      </c>
      <c r="D16" s="9">
        <v>3030</v>
      </c>
      <c r="E16" s="8">
        <v>205500</v>
      </c>
    </row>
    <row r="17" spans="1:5">
      <c r="A17" s="2">
        <v>46174</v>
      </c>
      <c r="B17" t="s">
        <v>3</v>
      </c>
      <c r="C17" s="1">
        <v>400</v>
      </c>
      <c r="D17" s="9">
        <v>160</v>
      </c>
      <c r="E17" s="8">
        <v>3900</v>
      </c>
    </row>
    <row r="18" spans="1:5">
      <c r="A18" s="2">
        <v>46174</v>
      </c>
      <c r="B18" t="s">
        <v>4</v>
      </c>
      <c r="C18" s="1">
        <v>5750</v>
      </c>
      <c r="D18" s="9">
        <v>730</v>
      </c>
      <c r="E18" s="8">
        <v>30500</v>
      </c>
    </row>
    <row r="19" spans="1:5">
      <c r="A19" s="2">
        <v>46174</v>
      </c>
      <c r="B19" t="s">
        <v>5</v>
      </c>
      <c r="C19" s="1">
        <v>55050</v>
      </c>
      <c r="D19" s="9">
        <v>2660</v>
      </c>
      <c r="E19" s="8">
        <v>208300</v>
      </c>
    </row>
    <row r="20" spans="1:5">
      <c r="A20" s="2">
        <v>46204</v>
      </c>
      <c r="B20" t="s">
        <v>3</v>
      </c>
      <c r="C20" s="1">
        <v>500</v>
      </c>
      <c r="D20" s="9">
        <v>130</v>
      </c>
      <c r="E20" s="8">
        <v>4100</v>
      </c>
    </row>
    <row r="21" spans="1:5">
      <c r="A21" s="2">
        <v>46204</v>
      </c>
      <c r="B21" t="s">
        <v>4</v>
      </c>
      <c r="C21" s="1">
        <v>7400</v>
      </c>
      <c r="D21" s="9">
        <v>940</v>
      </c>
      <c r="E21" s="8">
        <v>36400</v>
      </c>
    </row>
    <row r="22" spans="1:5">
      <c r="A22" s="2">
        <v>46204</v>
      </c>
      <c r="B22" t="s">
        <v>5</v>
      </c>
      <c r="C22" s="1">
        <v>32000</v>
      </c>
      <c r="D22" s="9">
        <v>3020</v>
      </c>
      <c r="E22" s="8">
        <v>204100</v>
      </c>
    </row>
    <row r="23" spans="1:5">
      <c r="A23" s="2">
        <v>46235</v>
      </c>
      <c r="B23" t="s">
        <v>3</v>
      </c>
      <c r="C23" s="1">
        <v>750</v>
      </c>
      <c r="D23" s="9">
        <v>150</v>
      </c>
      <c r="E23" s="8">
        <v>4000</v>
      </c>
    </row>
    <row r="24" spans="1:5">
      <c r="A24" s="2">
        <v>46235</v>
      </c>
      <c r="B24" t="s">
        <v>4</v>
      </c>
      <c r="C24" s="1">
        <v>5300</v>
      </c>
      <c r="D24" s="9">
        <v>770</v>
      </c>
      <c r="E24" s="8">
        <v>33400</v>
      </c>
    </row>
    <row r="25" spans="1:5">
      <c r="A25" s="2">
        <v>46235</v>
      </c>
      <c r="B25" t="s">
        <v>5</v>
      </c>
      <c r="C25" s="1">
        <v>52450</v>
      </c>
      <c r="D25" s="9">
        <v>3660</v>
      </c>
      <c r="E25" s="8">
        <v>203000</v>
      </c>
    </row>
    <row r="26" spans="1:5">
      <c r="A26" s="2">
        <v>46266</v>
      </c>
      <c r="B26" t="s">
        <v>3</v>
      </c>
      <c r="C26" s="1">
        <v>450</v>
      </c>
      <c r="D26" s="9">
        <v>170</v>
      </c>
      <c r="E26" s="8">
        <v>4800</v>
      </c>
    </row>
    <row r="27" spans="1:5">
      <c r="A27" s="2">
        <v>46266</v>
      </c>
      <c r="B27" t="s">
        <v>4</v>
      </c>
      <c r="C27" s="1">
        <v>7600</v>
      </c>
      <c r="D27" s="9">
        <v>970</v>
      </c>
      <c r="E27" s="8">
        <v>39600</v>
      </c>
    </row>
    <row r="28" spans="1:5">
      <c r="A28" s="2">
        <v>46266</v>
      </c>
      <c r="B28" t="s">
        <v>5</v>
      </c>
      <c r="C28" s="1">
        <v>46150</v>
      </c>
      <c r="D28" s="9">
        <v>3380</v>
      </c>
      <c r="E28" s="8">
        <v>207000</v>
      </c>
    </row>
    <row r="29" spans="1:5">
      <c r="A29" s="2">
        <v>46296</v>
      </c>
      <c r="B29" t="s">
        <v>3</v>
      </c>
      <c r="C29" s="1">
        <v>700</v>
      </c>
      <c r="D29" s="9">
        <v>160</v>
      </c>
      <c r="E29" s="8">
        <v>4700</v>
      </c>
    </row>
    <row r="30" spans="1:5">
      <c r="A30" s="2">
        <v>46296</v>
      </c>
      <c r="B30" t="s">
        <v>4</v>
      </c>
      <c r="C30" s="1">
        <v>6500</v>
      </c>
      <c r="D30" s="9">
        <v>1000</v>
      </c>
      <c r="E30" s="8">
        <v>42200</v>
      </c>
    </row>
    <row r="31" spans="1:5">
      <c r="A31" s="2">
        <v>46296</v>
      </c>
      <c r="B31" t="s">
        <v>5</v>
      </c>
      <c r="C31" s="1">
        <v>66350</v>
      </c>
      <c r="D31" s="9">
        <v>3920</v>
      </c>
      <c r="E31" s="8">
        <v>209300</v>
      </c>
    </row>
    <row r="32" spans="1:5">
      <c r="A32" s="2">
        <v>46327</v>
      </c>
      <c r="B32" t="s">
        <v>3</v>
      </c>
      <c r="C32" s="1">
        <v>600</v>
      </c>
      <c r="D32" s="9">
        <v>210</v>
      </c>
      <c r="E32" s="8">
        <v>5500</v>
      </c>
    </row>
    <row r="33" spans="1:5">
      <c r="A33" s="2">
        <v>46327</v>
      </c>
      <c r="B33" t="s">
        <v>4</v>
      </c>
      <c r="C33" s="1">
        <v>10550</v>
      </c>
      <c r="D33" s="9">
        <v>1020</v>
      </c>
      <c r="E33" s="8">
        <v>44600</v>
      </c>
    </row>
    <row r="34" spans="1:5">
      <c r="A34" s="2">
        <v>46327</v>
      </c>
      <c r="B34" t="s">
        <v>5</v>
      </c>
      <c r="C34" s="1">
        <v>45650</v>
      </c>
      <c r="D34" s="9">
        <v>4050</v>
      </c>
      <c r="E34" s="8">
        <v>211200</v>
      </c>
    </row>
    <row r="35" spans="1:5">
      <c r="A35" s="2">
        <v>46357</v>
      </c>
      <c r="B35" t="s">
        <v>3</v>
      </c>
      <c r="C35" s="1">
        <v>850</v>
      </c>
      <c r="D35" s="9">
        <v>240</v>
      </c>
      <c r="E35" s="8">
        <v>6100</v>
      </c>
    </row>
    <row r="36" spans="1:5">
      <c r="A36" s="2">
        <v>46357</v>
      </c>
      <c r="B36" t="s">
        <v>4</v>
      </c>
      <c r="C36" s="1">
        <v>8350</v>
      </c>
      <c r="D36" s="9">
        <v>1310</v>
      </c>
      <c r="E36" s="8">
        <v>52500</v>
      </c>
    </row>
    <row r="37" spans="1:5">
      <c r="A37" s="2">
        <v>46357</v>
      </c>
      <c r="B37" t="s">
        <v>5</v>
      </c>
      <c r="C37" s="1">
        <v>65950</v>
      </c>
      <c r="D37" s="9">
        <v>5160</v>
      </c>
      <c r="E37" s="8">
        <v>205400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96943-94B6-460C-A162-D2AE2C759A33}">
  <dimension ref="A1:E21"/>
  <sheetViews>
    <sheetView showGridLines="0" zoomScale="90" zoomScaleNormal="90" workbookViewId="0">
      <selection activeCell="H39" sqref="H39"/>
    </sheetView>
  </sheetViews>
  <sheetFormatPr defaultRowHeight="14.25"/>
  <cols>
    <col min="3" max="3" width="16.625" customWidth="1"/>
    <col min="4" max="5" width="31.5" customWidth="1"/>
  </cols>
  <sheetData>
    <row r="1" spans="1:5">
      <c r="A1" t="s">
        <v>7</v>
      </c>
      <c r="B1" t="s">
        <v>2</v>
      </c>
      <c r="C1" t="s">
        <v>28</v>
      </c>
      <c r="D1" t="s">
        <v>29</v>
      </c>
      <c r="E1" t="s">
        <v>30</v>
      </c>
    </row>
    <row r="2" spans="1:5">
      <c r="A2" s="2">
        <v>46023</v>
      </c>
      <c r="B2" s="8">
        <v>78366.666666666672</v>
      </c>
    </row>
    <row r="3" spans="1:5">
      <c r="A3" s="2">
        <v>46054</v>
      </c>
      <c r="B3" s="8">
        <v>76300</v>
      </c>
    </row>
    <row r="4" spans="1:5">
      <c r="A4" s="2">
        <v>46082</v>
      </c>
      <c r="B4" s="8">
        <v>79233.333333333328</v>
      </c>
    </row>
    <row r="5" spans="1:5">
      <c r="A5" s="2">
        <v>46113</v>
      </c>
      <c r="B5" s="8">
        <v>77333.333333333328</v>
      </c>
    </row>
    <row r="6" spans="1:5">
      <c r="A6" s="2">
        <v>46143</v>
      </c>
      <c r="B6" s="8">
        <v>79733.333333333328</v>
      </c>
    </row>
    <row r="7" spans="1:5">
      <c r="A7" s="2">
        <v>46174</v>
      </c>
      <c r="B7" s="8">
        <v>80900</v>
      </c>
    </row>
    <row r="8" spans="1:5">
      <c r="A8" s="2">
        <v>46204</v>
      </c>
      <c r="B8" s="8">
        <v>81533.333333333328</v>
      </c>
    </row>
    <row r="9" spans="1:5">
      <c r="A9" s="2">
        <v>46235</v>
      </c>
      <c r="B9" s="8">
        <v>80133.333333333328</v>
      </c>
    </row>
    <row r="10" spans="1:5">
      <c r="A10" s="2">
        <v>46266</v>
      </c>
      <c r="B10" s="8">
        <v>83800</v>
      </c>
    </row>
    <row r="11" spans="1:5">
      <c r="A11" s="2">
        <v>46296</v>
      </c>
      <c r="B11" s="8">
        <v>85400</v>
      </c>
    </row>
    <row r="12" spans="1:5">
      <c r="A12" s="2">
        <v>46327</v>
      </c>
      <c r="B12" s="8">
        <v>87100</v>
      </c>
    </row>
    <row r="13" spans="1:5">
      <c r="A13" s="2">
        <v>46357</v>
      </c>
      <c r="B13" s="8">
        <v>88000</v>
      </c>
      <c r="C13" s="8">
        <v>88000</v>
      </c>
      <c r="D13" s="8">
        <v>88000</v>
      </c>
      <c r="E13" s="8">
        <v>88000</v>
      </c>
    </row>
    <row r="14" spans="1:5">
      <c r="A14" s="2">
        <v>46388</v>
      </c>
      <c r="C14" s="8">
        <f>_xlfn.FORECAST.ETS(A14,$B$2:$B$13,$A$2:$A$13,1,1)</f>
        <v>88187.400635884158</v>
      </c>
      <c r="D14" s="8">
        <f>C14-_xlfn.FORECAST.ETS.CONFINT(A14,$B$2:$B$13,$A$2:$A$13,0.95,1,1)</f>
        <v>84896.530496856722</v>
      </c>
      <c r="E14" s="8">
        <f>C14+_xlfn.FORECAST.ETS.CONFINT(A14,$B$2:$B$13,$A$2:$A$13,0.95,1,1)</f>
        <v>91478.270774911594</v>
      </c>
    </row>
    <row r="15" spans="1:5">
      <c r="A15" s="2">
        <v>46419</v>
      </c>
      <c r="C15" s="8">
        <f>_xlfn.FORECAST.ETS(A15,$B$2:$B$13,$A$2:$A$13,1,1)</f>
        <v>89160.717399122019</v>
      </c>
      <c r="D15" s="8">
        <f>C15-_xlfn.FORECAST.ETS.CONFINT(A15,$B$2:$B$13,$A$2:$A$13,0.95,1,1)</f>
        <v>85767.766447973278</v>
      </c>
      <c r="E15" s="8">
        <f>C15+_xlfn.FORECAST.ETS.CONFINT(A15,$B$2:$B$13,$A$2:$A$13,0.95,1,1)</f>
        <v>92553.66835027076</v>
      </c>
    </row>
    <row r="16" spans="1:5">
      <c r="A16" s="2">
        <v>46447</v>
      </c>
      <c r="C16" s="8">
        <f>_xlfn.FORECAST.ETS(A16,$B$2:$B$13,$A$2:$A$13,1,1)</f>
        <v>90134.03416235988</v>
      </c>
      <c r="D16" s="8">
        <f>C16-_xlfn.FORECAST.ETS.CONFINT(A16,$B$2:$B$13,$A$2:$A$13,0.95,1,1)</f>
        <v>86641.205302470727</v>
      </c>
      <c r="E16" s="8">
        <f>C16+_xlfn.FORECAST.ETS.CONFINT(A16,$B$2:$B$13,$A$2:$A$13,0.95,1,1)</f>
        <v>93626.863022249032</v>
      </c>
    </row>
    <row r="21" spans="1:1">
      <c r="A21" t="s">
        <v>32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E548-9113-4392-A614-6018EDEEDBC6}">
  <dimension ref="A1:X33"/>
  <sheetViews>
    <sheetView showGridLines="0" zoomScale="90" zoomScaleNormal="90" workbookViewId="0">
      <selection activeCell="M32" sqref="M32:X32"/>
    </sheetView>
  </sheetViews>
  <sheetFormatPr defaultRowHeight="14.25"/>
  <cols>
    <col min="2" max="2" width="13.125" bestFit="1" customWidth="1"/>
    <col min="3" max="3" width="16.125" bestFit="1" customWidth="1"/>
    <col min="4" max="4" width="11.375" bestFit="1" customWidth="1"/>
    <col min="5" max="5" width="8.375" bestFit="1" customWidth="1"/>
    <col min="6" max="6" width="11.375" bestFit="1" customWidth="1"/>
  </cols>
  <sheetData>
    <row r="1" spans="1:1" s="6" customFormat="1" ht="18">
      <c r="A1" s="5" t="s">
        <v>35</v>
      </c>
    </row>
    <row r="2" spans="1:1">
      <c r="A2" s="4" t="s">
        <v>8</v>
      </c>
    </row>
    <row r="31" spans="1:24" ht="14.25" customHeight="1">
      <c r="A31" s="12" t="s">
        <v>9</v>
      </c>
      <c r="B31" s="12"/>
      <c r="C31" s="12"/>
      <c r="D31" s="12"/>
      <c r="E31" s="12"/>
      <c r="F31" s="12"/>
      <c r="G31" s="12"/>
      <c r="H31" s="12"/>
      <c r="I31" s="12"/>
      <c r="J31" s="12"/>
      <c r="M31" s="13" t="s">
        <v>11</v>
      </c>
      <c r="N31" s="13"/>
      <c r="O31" s="13"/>
      <c r="P31" s="13"/>
      <c r="Q31" s="13"/>
      <c r="R31" s="13"/>
      <c r="S31" s="13"/>
      <c r="T31" s="13"/>
      <c r="U31" s="13"/>
      <c r="V31" s="13"/>
      <c r="W31" s="13"/>
      <c r="X31" s="13"/>
    </row>
    <row r="32" spans="1:24" ht="42" customHeight="1">
      <c r="A32" s="12" t="s">
        <v>10</v>
      </c>
      <c r="B32" s="12"/>
      <c r="C32" s="12"/>
      <c r="D32" s="12"/>
      <c r="E32" s="12"/>
      <c r="F32" s="12"/>
      <c r="G32" s="12"/>
      <c r="H32" s="12"/>
      <c r="I32" s="12"/>
      <c r="J32" s="12"/>
      <c r="M32" s="12" t="s">
        <v>12</v>
      </c>
      <c r="N32" s="12"/>
      <c r="O32" s="12"/>
      <c r="P32" s="12"/>
      <c r="Q32" s="12"/>
      <c r="R32" s="12"/>
      <c r="S32" s="12"/>
      <c r="T32" s="12"/>
      <c r="U32" s="12"/>
      <c r="V32" s="12"/>
      <c r="W32" s="12"/>
      <c r="X32" s="12"/>
    </row>
    <row r="33" spans="13:24" ht="30" customHeight="1">
      <c r="M33" s="12" t="s">
        <v>31</v>
      </c>
      <c r="N33" s="12"/>
      <c r="O33" s="12"/>
      <c r="P33" s="12"/>
      <c r="Q33" s="12"/>
      <c r="R33" s="12"/>
      <c r="S33" s="12"/>
      <c r="T33" s="12"/>
      <c r="U33" s="12"/>
      <c r="V33" s="12"/>
      <c r="W33" s="12"/>
      <c r="X33" s="12"/>
    </row>
  </sheetData>
  <mergeCells count="5">
    <mergeCell ref="A32:J32"/>
    <mergeCell ref="A31:J31"/>
    <mergeCell ref="M31:X31"/>
    <mergeCell ref="M32:X32"/>
    <mergeCell ref="M33:X33"/>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3D28-307F-42D9-B5FF-33948F2E6656}">
  <dimension ref="A3:H22"/>
  <sheetViews>
    <sheetView showGridLines="0" tabSelected="1" zoomScale="90" zoomScaleNormal="90" workbookViewId="0">
      <selection activeCell="S26" sqref="S26"/>
    </sheetView>
  </sheetViews>
  <sheetFormatPr defaultRowHeight="14.25"/>
  <cols>
    <col min="1" max="1" width="14.375" bestFit="1" customWidth="1"/>
    <col min="2" max="2" width="13.25" bestFit="1" customWidth="1"/>
    <col min="3" max="3" width="9.875" bestFit="1" customWidth="1"/>
    <col min="4" max="4" width="8.375" bestFit="1" customWidth="1"/>
    <col min="5" max="5" width="11.375" bestFit="1" customWidth="1"/>
  </cols>
  <sheetData>
    <row r="3" spans="1:5">
      <c r="A3" s="10" t="s">
        <v>26</v>
      </c>
      <c r="B3" s="10" t="s">
        <v>0</v>
      </c>
    </row>
    <row r="4" spans="1:5">
      <c r="A4" s="10" t="s">
        <v>27</v>
      </c>
      <c r="B4" t="s">
        <v>3</v>
      </c>
      <c r="C4" t="s">
        <v>5</v>
      </c>
      <c r="D4" t="s">
        <v>4</v>
      </c>
      <c r="E4" t="s">
        <v>13</v>
      </c>
    </row>
    <row r="5" spans="1:5">
      <c r="A5" s="11" t="s">
        <v>14</v>
      </c>
      <c r="B5" s="8">
        <v>2600</v>
      </c>
      <c r="C5" s="8">
        <v>210100</v>
      </c>
      <c r="D5" s="8">
        <v>22400</v>
      </c>
      <c r="E5" s="8">
        <v>235100</v>
      </c>
    </row>
    <row r="6" spans="1:5">
      <c r="A6" s="11" t="s">
        <v>15</v>
      </c>
      <c r="B6" s="8">
        <v>2800</v>
      </c>
      <c r="C6" s="8">
        <v>204300</v>
      </c>
      <c r="D6" s="8">
        <v>21800</v>
      </c>
      <c r="E6" s="8">
        <v>228900</v>
      </c>
    </row>
    <row r="7" spans="1:5">
      <c r="A7" s="11" t="s">
        <v>16</v>
      </c>
      <c r="B7" s="8">
        <v>2900</v>
      </c>
      <c r="C7" s="8">
        <v>208100</v>
      </c>
      <c r="D7" s="8">
        <v>26700</v>
      </c>
      <c r="E7" s="8">
        <v>237700</v>
      </c>
    </row>
    <row r="8" spans="1:5">
      <c r="A8" s="11" t="s">
        <v>17</v>
      </c>
      <c r="B8" s="8">
        <v>3200</v>
      </c>
      <c r="C8" s="8">
        <v>203200</v>
      </c>
      <c r="D8" s="8">
        <v>25600</v>
      </c>
      <c r="E8" s="8">
        <v>232000</v>
      </c>
    </row>
    <row r="9" spans="1:5">
      <c r="A9" s="11" t="s">
        <v>18</v>
      </c>
      <c r="B9" s="8">
        <v>3400</v>
      </c>
      <c r="C9" s="8">
        <v>205500</v>
      </c>
      <c r="D9" s="8">
        <v>30300</v>
      </c>
      <c r="E9" s="8">
        <v>239200</v>
      </c>
    </row>
    <row r="10" spans="1:5">
      <c r="A10" s="11" t="s">
        <v>19</v>
      </c>
      <c r="B10" s="8">
        <v>3900</v>
      </c>
      <c r="C10" s="8">
        <v>208300</v>
      </c>
      <c r="D10" s="8">
        <v>30500</v>
      </c>
      <c r="E10" s="8">
        <v>242700</v>
      </c>
    </row>
    <row r="11" spans="1:5">
      <c r="A11" s="11" t="s">
        <v>20</v>
      </c>
      <c r="B11" s="8">
        <v>4100</v>
      </c>
      <c r="C11" s="8">
        <v>204100</v>
      </c>
      <c r="D11" s="8">
        <v>36400</v>
      </c>
      <c r="E11" s="8">
        <v>244600</v>
      </c>
    </row>
    <row r="12" spans="1:5">
      <c r="A12" s="11" t="s">
        <v>21</v>
      </c>
      <c r="B12" s="8">
        <v>4000</v>
      </c>
      <c r="C12" s="8">
        <v>203000</v>
      </c>
      <c r="D12" s="8">
        <v>33400</v>
      </c>
      <c r="E12" s="8">
        <v>240400</v>
      </c>
    </row>
    <row r="13" spans="1:5">
      <c r="A13" s="11" t="s">
        <v>22</v>
      </c>
      <c r="B13" s="8">
        <v>4800</v>
      </c>
      <c r="C13" s="8">
        <v>207000</v>
      </c>
      <c r="D13" s="8">
        <v>39600</v>
      </c>
      <c r="E13" s="8">
        <v>251400</v>
      </c>
    </row>
    <row r="14" spans="1:5">
      <c r="A14" s="11" t="s">
        <v>23</v>
      </c>
      <c r="B14" s="8">
        <v>4700</v>
      </c>
      <c r="C14" s="8">
        <v>209300</v>
      </c>
      <c r="D14" s="8">
        <v>42200</v>
      </c>
      <c r="E14" s="8">
        <v>256200</v>
      </c>
    </row>
    <row r="15" spans="1:5">
      <c r="A15" s="11" t="s">
        <v>24</v>
      </c>
      <c r="B15" s="8">
        <v>5500</v>
      </c>
      <c r="C15" s="8">
        <v>211200</v>
      </c>
      <c r="D15" s="8">
        <v>44600</v>
      </c>
      <c r="E15" s="8">
        <v>261300</v>
      </c>
    </row>
    <row r="16" spans="1:5">
      <c r="A16" s="11" t="s">
        <v>25</v>
      </c>
      <c r="B16" s="8">
        <v>6100</v>
      </c>
      <c r="C16" s="8">
        <v>205400</v>
      </c>
      <c r="D16" s="8">
        <v>52500</v>
      </c>
      <c r="E16" s="8">
        <v>264000</v>
      </c>
    </row>
    <row r="17" spans="1:8">
      <c r="A17" s="11" t="s">
        <v>13</v>
      </c>
      <c r="B17" s="8">
        <v>48000</v>
      </c>
      <c r="C17" s="8">
        <v>2479500</v>
      </c>
      <c r="D17" s="8">
        <v>406000</v>
      </c>
      <c r="E17" s="8">
        <v>2933500</v>
      </c>
    </row>
    <row r="22" spans="1:8">
      <c r="H22" t="s">
        <v>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ED6E-5CB0-42A1-8322-36A24FBA2AE7}">
  <dimension ref="A1:F22"/>
  <sheetViews>
    <sheetView showGridLines="0" zoomScale="90" zoomScaleNormal="90" workbookViewId="0">
      <selection activeCell="P28" sqref="P28"/>
    </sheetView>
  </sheetViews>
  <sheetFormatPr defaultRowHeight="14.25"/>
  <cols>
    <col min="1" max="1" width="14.375" bestFit="1" customWidth="1"/>
    <col min="2" max="2" width="13.25" bestFit="1" customWidth="1"/>
    <col min="3" max="3" width="11.375" bestFit="1" customWidth="1"/>
    <col min="4" max="4" width="8.375" bestFit="1" customWidth="1"/>
    <col min="5" max="5" width="11.375" bestFit="1" customWidth="1"/>
  </cols>
  <sheetData>
    <row r="1" spans="1:3">
      <c r="A1" s="10" t="s">
        <v>26</v>
      </c>
      <c r="B1" s="10" t="s">
        <v>0</v>
      </c>
    </row>
    <row r="2" spans="1:3">
      <c r="A2" s="10" t="s">
        <v>27</v>
      </c>
      <c r="B2" t="s">
        <v>5</v>
      </c>
      <c r="C2" t="s">
        <v>13</v>
      </c>
    </row>
    <row r="3" spans="1:3">
      <c r="A3" s="11" t="s">
        <v>14</v>
      </c>
      <c r="B3" s="8">
        <v>210100</v>
      </c>
      <c r="C3" s="8">
        <v>210100</v>
      </c>
    </row>
    <row r="4" spans="1:3">
      <c r="A4" s="11" t="s">
        <v>15</v>
      </c>
      <c r="B4" s="8">
        <v>204300</v>
      </c>
      <c r="C4" s="8">
        <v>204300</v>
      </c>
    </row>
    <row r="5" spans="1:3">
      <c r="A5" s="11" t="s">
        <v>16</v>
      </c>
      <c r="B5" s="8">
        <v>208100</v>
      </c>
      <c r="C5" s="8">
        <v>208100</v>
      </c>
    </row>
    <row r="6" spans="1:3">
      <c r="A6" s="11" t="s">
        <v>17</v>
      </c>
      <c r="B6" s="8">
        <v>203200</v>
      </c>
      <c r="C6" s="8">
        <v>203200</v>
      </c>
    </row>
    <row r="7" spans="1:3">
      <c r="A7" s="11" t="s">
        <v>18</v>
      </c>
      <c r="B7" s="8">
        <v>205500</v>
      </c>
      <c r="C7" s="8">
        <v>205500</v>
      </c>
    </row>
    <row r="8" spans="1:3">
      <c r="A8" s="11" t="s">
        <v>19</v>
      </c>
      <c r="B8" s="8">
        <v>208300</v>
      </c>
      <c r="C8" s="8">
        <v>208300</v>
      </c>
    </row>
    <row r="9" spans="1:3">
      <c r="A9" s="11" t="s">
        <v>20</v>
      </c>
      <c r="B9" s="8">
        <v>204100</v>
      </c>
      <c r="C9" s="8">
        <v>204100</v>
      </c>
    </row>
    <row r="10" spans="1:3">
      <c r="A10" s="11" t="s">
        <v>21</v>
      </c>
      <c r="B10" s="8">
        <v>203000</v>
      </c>
      <c r="C10" s="8">
        <v>203000</v>
      </c>
    </row>
    <row r="11" spans="1:3">
      <c r="A11" s="11" t="s">
        <v>22</v>
      </c>
      <c r="B11" s="8">
        <v>207000</v>
      </c>
      <c r="C11" s="8">
        <v>207000</v>
      </c>
    </row>
    <row r="12" spans="1:3">
      <c r="A12" s="11" t="s">
        <v>23</v>
      </c>
      <c r="B12" s="8">
        <v>209300</v>
      </c>
      <c r="C12" s="8">
        <v>209300</v>
      </c>
    </row>
    <row r="13" spans="1:3">
      <c r="A13" s="11" t="s">
        <v>24</v>
      </c>
      <c r="B13" s="8">
        <v>211200</v>
      </c>
      <c r="C13" s="8">
        <v>211200</v>
      </c>
    </row>
    <row r="14" spans="1:3">
      <c r="A14" s="11" t="s">
        <v>25</v>
      </c>
      <c r="B14" s="8">
        <v>205400</v>
      </c>
      <c r="C14" s="8">
        <v>205400</v>
      </c>
    </row>
    <row r="15" spans="1:3">
      <c r="A15" s="11" t="s">
        <v>13</v>
      </c>
      <c r="B15" s="8">
        <v>2479500</v>
      </c>
      <c r="C15" s="8">
        <v>2479500</v>
      </c>
    </row>
    <row r="22" spans="6:6">
      <c r="F22" t="s">
        <v>34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Forecasting</vt:lpstr>
      <vt:lpstr>Distribution and Relationship</vt:lpstr>
      <vt:lpstr>Logarithmic Scale</vt:lpstr>
      <vt:lpstr>Trend 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Luyolo Nimako</cp:lastModifiedBy>
  <dcterms:created xsi:type="dcterms:W3CDTF">2026-05-26T06:51:39Z</dcterms:created>
  <dcterms:modified xsi:type="dcterms:W3CDTF">2026-08-12T21:14:35Z</dcterms:modified>
</cp:coreProperties>
</file>