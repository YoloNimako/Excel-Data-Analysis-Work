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printerSettings/printerSettings1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riworldwide-my.sharepoint.com/personal/luyolo_nimako_circana_com/Documents/Documents/Excel Upskilling/Ex_Files_Learning_Excel_Data_Analysis/Ex_Files_Learning_Excel_Data_Analysis/Exercise Files/03_04/"/>
    </mc:Choice>
  </mc:AlternateContent>
  <xr:revisionPtr revIDLastSave="138" documentId="8_{5BE927A3-C746-400B-B309-7C34E8C9BBCB}" xr6:coauthVersionLast="47" xr6:coauthVersionMax="47" xr10:uidLastSave="{E76EF588-8344-4F8A-901A-2F86FF268ECE}"/>
  <bookViews>
    <workbookView xWindow="-120" yWindow="-120" windowWidth="29040" windowHeight="15720" xr2:uid="{00000000-000D-0000-FFFF-FFFF00000000}"/>
  </bookViews>
  <sheets>
    <sheet name="Campaign Data" sheetId="1" r:id="rId1"/>
    <sheet name="IRI_UO_WorkspaceStorage" sheetId="5" state="hidden" r:id="rId2"/>
    <sheet name="Answers" sheetId="4" r:id="rId3"/>
  </sheets>
  <definedNames>
    <definedName name="IRI_WorkspaceId" hidden="1">"31d4b589938a4f1d95bcee512c6adca3"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4" l="1"/>
  <c r="E28" i="4"/>
  <c r="D28" i="4"/>
  <c r="C28" i="4"/>
  <c r="F27" i="4"/>
  <c r="E27" i="4"/>
  <c r="D27" i="4"/>
  <c r="C27" i="4"/>
  <c r="F26" i="4"/>
  <c r="E26" i="4"/>
  <c r="D26" i="4"/>
  <c r="C26" i="4"/>
  <c r="F25" i="4"/>
  <c r="E25" i="4"/>
  <c r="D25" i="4"/>
  <c r="C25" i="4"/>
  <c r="F24" i="4"/>
  <c r="E24" i="4"/>
  <c r="D24" i="4"/>
  <c r="C24" i="4"/>
  <c r="C16" i="4"/>
  <c r="F20" i="4"/>
  <c r="E20" i="4"/>
  <c r="D20" i="4"/>
  <c r="C20" i="4"/>
  <c r="F19" i="4"/>
  <c r="E19" i="4"/>
  <c r="D19" i="4"/>
  <c r="C19" i="4"/>
  <c r="F18" i="4"/>
  <c r="E18" i="4"/>
  <c r="D18" i="4"/>
  <c r="C18" i="4"/>
  <c r="F17" i="4"/>
  <c r="E17" i="4"/>
  <c r="D17" i="4"/>
  <c r="C17" i="4"/>
  <c r="F16" i="4"/>
  <c r="E16" i="4"/>
  <c r="D16" i="4"/>
  <c r="A9" i="4"/>
  <c r="A4" i="4"/>
  <c r="D31" i="4" l="1"/>
  <c r="E31" i="4"/>
  <c r="F31" i="4"/>
  <c r="C31" i="4"/>
</calcChain>
</file>

<file path=xl/sharedStrings.xml><?xml version="1.0" encoding="utf-8"?>
<sst xmlns="http://schemas.openxmlformats.org/spreadsheetml/2006/main" count="1845" uniqueCount="233">
  <si>
    <t>Lead ID</t>
  </si>
  <si>
    <t>Date</t>
  </si>
  <si>
    <t>Customer Segment</t>
  </si>
  <si>
    <t>Region</t>
  </si>
  <si>
    <t>Campaign Channel</t>
  </si>
  <si>
    <t>Offer Type</t>
  </si>
  <si>
    <t>Opened?</t>
  </si>
  <si>
    <t>Clicked?</t>
  </si>
  <si>
    <t>Booked Demo?</t>
  </si>
  <si>
    <t>Converted?</t>
  </si>
  <si>
    <t>Campaign Cost</t>
  </si>
  <si>
    <t>Revenue</t>
  </si>
  <si>
    <t>Net Value</t>
  </si>
  <si>
    <t>Outcome</t>
  </si>
  <si>
    <t>LEAD-0001</t>
  </si>
  <si>
    <t>Small Business</t>
  </si>
  <si>
    <t>West</t>
  </si>
  <si>
    <t>LinkedIn Ad</t>
  </si>
  <si>
    <t>Free Trial</t>
  </si>
  <si>
    <t>No</t>
  </si>
  <si>
    <t>No Engagement</t>
  </si>
  <si>
    <t>LEAD-0002</t>
  </si>
  <si>
    <t>Education</t>
  </si>
  <si>
    <t>South</t>
  </si>
  <si>
    <t>Search Ad</t>
  </si>
  <si>
    <t>Demo</t>
  </si>
  <si>
    <t>Yes</t>
  </si>
  <si>
    <t>Opened Only</t>
  </si>
  <si>
    <t>LEAD-0003</t>
  </si>
  <si>
    <t>Non-Profit</t>
  </si>
  <si>
    <t>North</t>
  </si>
  <si>
    <t>Email</t>
  </si>
  <si>
    <t>LEAD-0004</t>
  </si>
  <si>
    <t>LEAD-0005</t>
  </si>
  <si>
    <t>Consultation</t>
  </si>
  <si>
    <t>LEAD-0006</t>
  </si>
  <si>
    <t>Corporate</t>
  </si>
  <si>
    <t>Discount</t>
  </si>
  <si>
    <t>Converted</t>
  </si>
  <si>
    <t>LEAD-0007</t>
  </si>
  <si>
    <t>LEAD-0008</t>
  </si>
  <si>
    <t>East</t>
  </si>
  <si>
    <t>Webinar</t>
  </si>
  <si>
    <t>LEAD-0009</t>
  </si>
  <si>
    <t>LEAD-0010</t>
  </si>
  <si>
    <t>LEAD-0011</t>
  </si>
  <si>
    <t>LEAD-0012</t>
  </si>
  <si>
    <t>LEAD-0013</t>
  </si>
  <si>
    <t>LEAD-0014</t>
  </si>
  <si>
    <t>LEAD-0015</t>
  </si>
  <si>
    <t>LEAD-0016</t>
  </si>
  <si>
    <t>LEAD-0017</t>
  </si>
  <si>
    <t>LEAD-0018</t>
  </si>
  <si>
    <t>LEAD-0019</t>
  </si>
  <si>
    <t>LEAD-0020</t>
  </si>
  <si>
    <t>LEAD-0021</t>
  </si>
  <si>
    <t>LEAD-0022</t>
  </si>
  <si>
    <t>LEAD-0023</t>
  </si>
  <si>
    <t>LEAD-0024</t>
  </si>
  <si>
    <t>LEAD-0025</t>
  </si>
  <si>
    <t>LEAD-0026</t>
  </si>
  <si>
    <t>LEAD-0027</t>
  </si>
  <si>
    <t>LEAD-0028</t>
  </si>
  <si>
    <t>LEAD-0029</t>
  </si>
  <si>
    <t>LEAD-0030</t>
  </si>
  <si>
    <t>LEAD-0031</t>
  </si>
  <si>
    <t>LEAD-0032</t>
  </si>
  <si>
    <t>LEAD-0033</t>
  </si>
  <si>
    <t>LEAD-0034</t>
  </si>
  <si>
    <t>LEAD-0035</t>
  </si>
  <si>
    <t>LEAD-0036</t>
  </si>
  <si>
    <t>LEAD-0037</t>
  </si>
  <si>
    <t>LEAD-0038</t>
  </si>
  <si>
    <t>LEAD-0039</t>
  </si>
  <si>
    <t>LEAD-0040</t>
  </si>
  <si>
    <t>LEAD-0041</t>
  </si>
  <si>
    <t>LEAD-0042</t>
  </si>
  <si>
    <t>LEAD-0043</t>
  </si>
  <si>
    <t>LEAD-0044</t>
  </si>
  <si>
    <t>LEAD-0045</t>
  </si>
  <si>
    <t>LEAD-0046</t>
  </si>
  <si>
    <t>LEAD-0047</t>
  </si>
  <si>
    <t>LEAD-0048</t>
  </si>
  <si>
    <t>LEAD-0049</t>
  </si>
  <si>
    <t>LEAD-0050</t>
  </si>
  <si>
    <t>LEAD-0051</t>
  </si>
  <si>
    <t>LEAD-0052</t>
  </si>
  <si>
    <t>LEAD-0053</t>
  </si>
  <si>
    <t>LEAD-0054</t>
  </si>
  <si>
    <t>LEAD-0055</t>
  </si>
  <si>
    <t>LEAD-0056</t>
  </si>
  <si>
    <t>LEAD-0057</t>
  </si>
  <si>
    <t>LEAD-0058</t>
  </si>
  <si>
    <t>LEAD-0059</t>
  </si>
  <si>
    <t>LEAD-0060</t>
  </si>
  <si>
    <t>LEAD-0061</t>
  </si>
  <si>
    <t>LEAD-0062</t>
  </si>
  <si>
    <t>LEAD-0063</t>
  </si>
  <si>
    <t>LEAD-0064</t>
  </si>
  <si>
    <t>LEAD-0065</t>
  </si>
  <si>
    <t>LEAD-0066</t>
  </si>
  <si>
    <t>LEAD-0067</t>
  </si>
  <si>
    <t>LEAD-0068</t>
  </si>
  <si>
    <t>LEAD-0069</t>
  </si>
  <si>
    <t>LEAD-0070</t>
  </si>
  <si>
    <t>LEAD-0071</t>
  </si>
  <si>
    <t>LEAD-0072</t>
  </si>
  <si>
    <t>LEAD-0073</t>
  </si>
  <si>
    <t>LEAD-0074</t>
  </si>
  <si>
    <t>LEAD-0075</t>
  </si>
  <si>
    <t>LEAD-0076</t>
  </si>
  <si>
    <t>LEAD-0077</t>
  </si>
  <si>
    <t>LEAD-0078</t>
  </si>
  <si>
    <t>LEAD-0079</t>
  </si>
  <si>
    <t>LEAD-0080</t>
  </si>
  <si>
    <t>LEAD-0081</t>
  </si>
  <si>
    <t>LEAD-0082</t>
  </si>
  <si>
    <t>LEAD-0083</t>
  </si>
  <si>
    <t>LEAD-0084</t>
  </si>
  <si>
    <t>LEAD-0085</t>
  </si>
  <si>
    <t>LEAD-0086</t>
  </si>
  <si>
    <t>LEAD-0087</t>
  </si>
  <si>
    <t>LEAD-0088</t>
  </si>
  <si>
    <t>LEAD-0089</t>
  </si>
  <si>
    <t>LEAD-0090</t>
  </si>
  <si>
    <t>LEAD-0091</t>
  </si>
  <si>
    <t>LEAD-0092</t>
  </si>
  <si>
    <t>LEAD-0093</t>
  </si>
  <si>
    <t>LEAD-0094</t>
  </si>
  <si>
    <t>LEAD-0095</t>
  </si>
  <si>
    <t>LEAD-0096</t>
  </si>
  <si>
    <t>LEAD-0097</t>
  </si>
  <si>
    <t>LEAD-0098</t>
  </si>
  <si>
    <t>LEAD-0099</t>
  </si>
  <si>
    <t>LEAD-0100</t>
  </si>
  <si>
    <t>LEAD-0101</t>
  </si>
  <si>
    <t>LEAD-0102</t>
  </si>
  <si>
    <t>LEAD-0103</t>
  </si>
  <si>
    <t>LEAD-0104</t>
  </si>
  <si>
    <t>LEAD-0105</t>
  </si>
  <si>
    <t>LEAD-0106</t>
  </si>
  <si>
    <t>LEAD-0107</t>
  </si>
  <si>
    <t>LEAD-0108</t>
  </si>
  <si>
    <t>LEAD-0109</t>
  </si>
  <si>
    <t>LEAD-0110</t>
  </si>
  <si>
    <t>LEAD-0111</t>
  </si>
  <si>
    <t>LEAD-0112</t>
  </si>
  <si>
    <t>LEAD-0113</t>
  </si>
  <si>
    <t>LEAD-0114</t>
  </si>
  <si>
    <t>LEAD-0115</t>
  </si>
  <si>
    <t>LEAD-0116</t>
  </si>
  <si>
    <t>LEAD-0117</t>
  </si>
  <si>
    <t>LEAD-0118</t>
  </si>
  <si>
    <t>LEAD-0119</t>
  </si>
  <si>
    <t>LEAD-0120</t>
  </si>
  <si>
    <t>LEAD-0121</t>
  </si>
  <si>
    <t>LEAD-0122</t>
  </si>
  <si>
    <t>LEAD-0123</t>
  </si>
  <si>
    <t>LEAD-0124</t>
  </si>
  <si>
    <t>LEAD-0125</t>
  </si>
  <si>
    <t>LEAD-0126</t>
  </si>
  <si>
    <t>LEAD-0127</t>
  </si>
  <si>
    <t>LEAD-0128</t>
  </si>
  <si>
    <t>LEAD-0129</t>
  </si>
  <si>
    <t>LEAD-0130</t>
  </si>
  <si>
    <t>LEAD-0131</t>
  </si>
  <si>
    <t>LEAD-0132</t>
  </si>
  <si>
    <t>LEAD-0133</t>
  </si>
  <si>
    <t>LEAD-0134</t>
  </si>
  <si>
    <t>LEAD-0135</t>
  </si>
  <si>
    <t>LEAD-0136</t>
  </si>
  <si>
    <t>LEAD-0137</t>
  </si>
  <si>
    <t>LEAD-0138</t>
  </si>
  <si>
    <t>LEAD-0139</t>
  </si>
  <si>
    <t>LEAD-0140</t>
  </si>
  <si>
    <t>LEAD-0141</t>
  </si>
  <si>
    <t>LEAD-0142</t>
  </si>
  <si>
    <t>LEAD-0143</t>
  </si>
  <si>
    <t>LEAD-0144</t>
  </si>
  <si>
    <t>LEAD-0145</t>
  </si>
  <si>
    <t>LEAD-0146</t>
  </si>
  <si>
    <t>LEAD-0147</t>
  </si>
  <si>
    <t>LEAD-0148</t>
  </si>
  <si>
    <t>LEAD-0149</t>
  </si>
  <si>
    <t>LEAD-0150</t>
  </si>
  <si>
    <t>LEAD-0151</t>
  </si>
  <si>
    <t>LEAD-0152</t>
  </si>
  <si>
    <t>LEAD-0153</t>
  </si>
  <si>
    <t>LEAD-0154</t>
  </si>
  <si>
    <t>LEAD-0155</t>
  </si>
  <si>
    <t>LEAD-0156</t>
  </si>
  <si>
    <t>LEAD-0157</t>
  </si>
  <si>
    <t>LEAD-0158</t>
  </si>
  <si>
    <t>LEAD-0159</t>
  </si>
  <si>
    <t>LEAD-0160</t>
  </si>
  <si>
    <t>LEAD-0161</t>
  </si>
  <si>
    <t>LEAD-0162</t>
  </si>
  <si>
    <t>LEAD-0163</t>
  </si>
  <si>
    <t>LEAD-0164</t>
  </si>
  <si>
    <t>LEAD-0165</t>
  </si>
  <si>
    <t>LEAD-0166</t>
  </si>
  <si>
    <t>LEAD-0167</t>
  </si>
  <si>
    <t>LEAD-0168</t>
  </si>
  <si>
    <t>LEAD-0169</t>
  </si>
  <si>
    <t>LEAD-0170</t>
  </si>
  <si>
    <t>LEAD-0171</t>
  </si>
  <si>
    <t>LEAD-0172</t>
  </si>
  <si>
    <t>LEAD-0173</t>
  </si>
  <si>
    <t>LEAD-0174</t>
  </si>
  <si>
    <t>LEAD-0175</t>
  </si>
  <si>
    <t>LEAD-0176</t>
  </si>
  <si>
    <t>LEAD-0177</t>
  </si>
  <si>
    <t>LEAD-0178</t>
  </si>
  <si>
    <t>LEAD-0179</t>
  </si>
  <si>
    <t>LEAD-0180</t>
  </si>
  <si>
    <t>Expected Value</t>
  </si>
  <si>
    <t>Probability</t>
  </si>
  <si>
    <t>Avg. Net Value</t>
  </si>
  <si>
    <t>Q3. Expected Value by Campaign Channel</t>
  </si>
  <si>
    <t>Q1. Probability randomly selected lead clicks campaign</t>
  </si>
  <si>
    <t>Q2. Probability a lead clicked the campaign and booked a demo</t>
  </si>
  <si>
    <t>Booked Demo</t>
  </si>
  <si>
    <t>Clicked</t>
  </si>
  <si>
    <t>Label1</t>
  </si>
  <si>
    <t>2b5ab646be864a65a4af09f6e2ccbf75|PAGEKEY|:1_Category:3760338|d6daaffa6b44e953:550d9f90:19ff00ba3ce:-5133</t>
  </si>
  <si>
    <t>Label2</t>
  </si>
  <si>
    <t>2b5ab646be864a65a4af09f6e2ccbf75|SELECTED_DIM</t>
  </si>
  <si>
    <t>Label3</t>
  </si>
  <si>
    <t>2b5ab646be864a65a4af09f6e2ccbf75</t>
  </si>
  <si>
    <t>Label4</t>
  </si>
  <si>
    <t>UO_REPORT_LIST</t>
  </si>
  <si>
    <t>Label5</t>
  </si>
  <si>
    <t>WORKBOOK_ATTRIBUTE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</si>
</sst>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;[Red]\-\$#,##0.00"/>
    <numFmt numFmtId="165" formatCode="0.0%"/>
    <numFmt numFmtId="166" formatCode="&quot;$&quot;#,##0.00"/>
  </numFmts>
  <fonts count="6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sz val="11"/>
      <name val="Carlito"/>
    </font>
    <font>
      <sz val="12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2FBEF"/>
        <bgColor indexed="64"/>
      </patternFill>
    </fill>
    <fill>
      <patternFill patternType="solid">
        <fgColor rgb="FFF0FAFE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164" fontId="0" fillId="0" borderId="0" xfId="0" applyNumberFormat="1"/>
    <xf numFmtId="0" fontId="3" fillId="0" borderId="1" xfId="0" applyFont="1" applyBorder="1"/>
    <xf numFmtId="0" fontId="1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2" xfId="0" applyFont="1" applyBorder="1" applyAlignment="1">
      <alignment horizontal="right"/>
    </xf>
    <xf numFmtId="0" fontId="2" fillId="2" borderId="0" xfId="0" applyFont="1" applyFill="1"/>
    <xf numFmtId="0" fontId="3" fillId="0" borderId="1" xfId="0" applyFont="1" applyBorder="1" applyAlignment="1">
      <alignment horizontal="right"/>
    </xf>
    <xf numFmtId="166" fontId="3" fillId="0" borderId="0" xfId="0" applyNumberFormat="1" applyFont="1"/>
    <xf numFmtId="0" fontId="3" fillId="0" borderId="2" xfId="0" applyFont="1" applyBorder="1"/>
    <xf numFmtId="0" fontId="0" fillId="0" borderId="0" xfId="0" applyAlignment="1">
      <alignment vertical="center"/>
    </xf>
    <xf numFmtId="9" fontId="3" fillId="0" borderId="3" xfId="1" applyFont="1" applyBorder="1"/>
    <xf numFmtId="165" fontId="0" fillId="0" borderId="0" xfId="1" applyNumberFormat="1" applyFont="1"/>
    <xf numFmtId="0" fontId="5" fillId="3" borderId="0" xfId="0" applyFont="1" applyFill="1"/>
    <xf numFmtId="166" fontId="0" fillId="5" borderId="1" xfId="0" applyNumberFormat="1" applyFill="1" applyBorder="1" applyAlignment="1">
      <alignment vertical="center"/>
    </xf>
    <xf numFmtId="0" fontId="3" fillId="0" borderId="1" xfId="0" applyFont="1" applyBorder="1" applyAlignment="1">
      <alignment horizontal="centerContinuous"/>
    </xf>
    <xf numFmtId="14" fontId="0" fillId="0" borderId="0" xfId="0" applyNumberFormat="1"/>
    <xf numFmtId="0" fontId="2" fillId="2" borderId="0" xfId="0" applyFont="1" applyFill="1" applyAlignment="1">
      <alignment vertical="center"/>
    </xf>
    <xf numFmtId="10" fontId="0" fillId="0" borderId="0" xfId="1" applyNumberFormat="1" applyFont="1"/>
    <xf numFmtId="165" fontId="0" fillId="4" borderId="0" xfId="0" applyNumberFormat="1" applyFill="1"/>
    <xf numFmtId="0" fontId="3" fillId="4" borderId="3" xfId="0" applyFont="1" applyFill="1" applyBorder="1" applyAlignment="1">
      <alignment horizontal="center" vertical="center" textRotation="90"/>
    </xf>
    <xf numFmtId="0" fontId="3" fillId="4" borderId="1" xfId="0" applyFont="1" applyFill="1" applyBorder="1" applyAlignment="1">
      <alignment horizontal="center" vertical="center" textRotation="90"/>
    </xf>
    <xf numFmtId="0" fontId="3" fillId="5" borderId="1" xfId="0" applyFont="1" applyFill="1" applyBorder="1" applyAlignment="1">
      <alignment horizontal="center" vertical="center" textRotation="90"/>
    </xf>
  </cellXfs>
  <cellStyles count="2">
    <cellStyle name="Normal" xfId="0" builtinId="0"/>
    <cellStyle name="Percent" xfId="1" builtinId="5"/>
  </cellStyles>
  <dxfs count="2">
    <dxf>
      <numFmt numFmtId="167" formatCode="dd/mm/yyyy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0FAFE"/>
      <color rgb="FFF2F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6</xdr:col>
          <xdr:colOff>381000</xdr:colOff>
          <xdr:row>7</xdr:row>
          <xdr:rowOff>0</xdr:rowOff>
        </xdr:to>
        <xdr:sp macro="" textlink="">
          <xdr:nvSpPr>
            <xdr:cNvPr id="4097" name="Label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2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0</xdr:rowOff>
        </xdr:from>
        <xdr:to>
          <xdr:col>6</xdr:col>
          <xdr:colOff>381000</xdr:colOff>
          <xdr:row>6</xdr:row>
          <xdr:rowOff>0</xdr:rowOff>
        </xdr:to>
        <xdr:sp macro="" textlink="">
          <xdr:nvSpPr>
            <xdr:cNvPr id="4098" name="Label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2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0</xdr:rowOff>
        </xdr:from>
        <xdr:to>
          <xdr:col>6</xdr:col>
          <xdr:colOff>381000</xdr:colOff>
          <xdr:row>5</xdr:row>
          <xdr:rowOff>0</xdr:rowOff>
        </xdr:to>
        <xdr:sp macro="" textlink="">
          <xdr:nvSpPr>
            <xdr:cNvPr id="4099" name="Label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2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0</xdr:rowOff>
        </xdr:from>
        <xdr:to>
          <xdr:col>6</xdr:col>
          <xdr:colOff>381000</xdr:colOff>
          <xdr:row>4</xdr:row>
          <xdr:rowOff>0</xdr:rowOff>
        </xdr:to>
        <xdr:sp macro="" textlink="">
          <xdr:nvSpPr>
            <xdr:cNvPr id="4100" name="Label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2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0</xdr:rowOff>
        </xdr:from>
        <xdr:to>
          <xdr:col>6</xdr:col>
          <xdr:colOff>381000</xdr:colOff>
          <xdr:row>3</xdr:row>
          <xdr:rowOff>0</xdr:rowOff>
        </xdr:to>
        <xdr:sp macro="" textlink="">
          <xdr:nvSpPr>
            <xdr:cNvPr id="4101" name="Label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2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mpaignData" displayName="CampaignData" ref="A1:N181" headerRowDxfId="1">
  <tableColumns count="14">
    <tableColumn id="1" xr3:uid="{00000000-0010-0000-0000-000001000000}" name="Lead ID"/>
    <tableColumn id="2" xr3:uid="{00000000-0010-0000-0000-000002000000}" name="Date" dataDxfId="0"/>
    <tableColumn id="3" xr3:uid="{00000000-0010-0000-0000-000003000000}" name="Customer Segment"/>
    <tableColumn id="4" xr3:uid="{00000000-0010-0000-0000-000004000000}" name="Region"/>
    <tableColumn id="5" xr3:uid="{00000000-0010-0000-0000-000005000000}" name="Campaign Channel"/>
    <tableColumn id="6" xr3:uid="{00000000-0010-0000-0000-000006000000}" name="Offer Type"/>
    <tableColumn id="7" xr3:uid="{00000000-0010-0000-0000-000007000000}" name="Opened?"/>
    <tableColumn id="8" xr3:uid="{00000000-0010-0000-0000-000008000000}" name="Clicked?"/>
    <tableColumn id="9" xr3:uid="{00000000-0010-0000-0000-000009000000}" name="Booked Demo?"/>
    <tableColumn id="10" xr3:uid="{00000000-0010-0000-0000-00000A000000}" name="Converted?"/>
    <tableColumn id="11" xr3:uid="{00000000-0010-0000-0000-00000B000000}" name="Campaign Cost"/>
    <tableColumn id="12" xr3:uid="{00000000-0010-0000-0000-00000C000000}" name="Revenue"/>
    <tableColumn id="13" xr3:uid="{00000000-0010-0000-0000-00000D000000}" name="Net Value"/>
    <tableColumn id="15" xr3:uid="{00000000-0010-0000-0000-00000F000000}" name="Outco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3" Type="http://schemas.openxmlformats.org/officeDocument/2006/relationships/control" Target="../activeX/activeX1.xml"/><Relationship Id="rId7" Type="http://schemas.openxmlformats.org/officeDocument/2006/relationships/control" Target="../activeX/activeX3.xml"/><Relationship Id="rId12" Type="http://schemas.openxmlformats.org/officeDocument/2006/relationships/image" Target="../media/image5.emf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11" Type="http://schemas.openxmlformats.org/officeDocument/2006/relationships/control" Target="../activeX/activeX5.xml"/><Relationship Id="rId5" Type="http://schemas.openxmlformats.org/officeDocument/2006/relationships/control" Target="../activeX/activeX2.xml"/><Relationship Id="rId10" Type="http://schemas.openxmlformats.org/officeDocument/2006/relationships/image" Target="../media/image4.emf"/><Relationship Id="rId4" Type="http://schemas.openxmlformats.org/officeDocument/2006/relationships/image" Target="../media/image1.emf"/><Relationship Id="rId9" Type="http://schemas.openxmlformats.org/officeDocument/2006/relationships/control" Target="../activeX/activeX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1"/>
  <sheetViews>
    <sheetView tabSelected="1" workbookViewId="0">
      <selection activeCell="A2" sqref="A2"/>
    </sheetView>
  </sheetViews>
  <sheetFormatPr defaultRowHeight="14.25"/>
  <cols>
    <col min="1" max="1" width="10.25" bestFit="1" customWidth="1"/>
    <col min="2" max="2" width="11.375" bestFit="1" customWidth="1"/>
    <col min="3" max="3" width="18.125" bestFit="1" customWidth="1"/>
    <col min="4" max="4" width="7.25" bestFit="1" customWidth="1"/>
    <col min="5" max="5" width="17.75" bestFit="1" customWidth="1"/>
    <col min="6" max="6" width="11" bestFit="1" customWidth="1"/>
    <col min="7" max="7" width="9.125" bestFit="1" customWidth="1"/>
    <col min="8" max="8" width="8.625" bestFit="1" customWidth="1"/>
    <col min="9" max="9" width="14.625" bestFit="1" customWidth="1"/>
    <col min="10" max="10" width="11.5" bestFit="1" customWidth="1"/>
    <col min="11" max="11" width="14.375" bestFit="1" customWidth="1"/>
    <col min="12" max="12" width="9" bestFit="1" customWidth="1"/>
    <col min="13" max="13" width="9.375" bestFit="1" customWidth="1"/>
    <col min="14" max="14" width="16.875" bestFit="1" customWidth="1"/>
  </cols>
  <sheetData>
    <row r="1" spans="1:14" ht="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t="s">
        <v>14</v>
      </c>
      <c r="B2" s="18">
        <v>46144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19</v>
      </c>
      <c r="J2" t="s">
        <v>19</v>
      </c>
      <c r="K2" s="2">
        <v>26.24</v>
      </c>
      <c r="L2" s="2">
        <v>0</v>
      </c>
      <c r="M2" s="2">
        <v>-26.24</v>
      </c>
      <c r="N2" t="s">
        <v>20</v>
      </c>
    </row>
    <row r="3" spans="1:14">
      <c r="A3" t="s">
        <v>21</v>
      </c>
      <c r="B3" s="18">
        <v>46151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19</v>
      </c>
      <c r="I3" t="s">
        <v>19</v>
      </c>
      <c r="J3" t="s">
        <v>19</v>
      </c>
      <c r="K3" s="2">
        <v>19.190000000000001</v>
      </c>
      <c r="L3" s="2">
        <v>0</v>
      </c>
      <c r="M3" s="2">
        <v>-19.190000000000001</v>
      </c>
      <c r="N3" t="s">
        <v>27</v>
      </c>
    </row>
    <row r="4" spans="1:14">
      <c r="A4" t="s">
        <v>28</v>
      </c>
      <c r="B4" s="18">
        <v>46128</v>
      </c>
      <c r="C4" t="s">
        <v>29</v>
      </c>
      <c r="D4" t="s">
        <v>30</v>
      </c>
      <c r="E4" t="s">
        <v>31</v>
      </c>
      <c r="F4" t="s">
        <v>18</v>
      </c>
      <c r="G4" t="s">
        <v>26</v>
      </c>
      <c r="H4" t="s">
        <v>19</v>
      </c>
      <c r="I4" t="s">
        <v>19</v>
      </c>
      <c r="J4" t="s">
        <v>19</v>
      </c>
      <c r="K4" s="2">
        <v>12.8</v>
      </c>
      <c r="L4" s="2">
        <v>0</v>
      </c>
      <c r="M4" s="2">
        <v>-12.8</v>
      </c>
      <c r="N4" t="s">
        <v>27</v>
      </c>
    </row>
    <row r="5" spans="1:14">
      <c r="A5" t="s">
        <v>32</v>
      </c>
      <c r="B5" s="18">
        <v>46120</v>
      </c>
      <c r="C5" t="s">
        <v>29</v>
      </c>
      <c r="D5" t="s">
        <v>23</v>
      </c>
      <c r="E5" t="s">
        <v>31</v>
      </c>
      <c r="F5" t="s">
        <v>25</v>
      </c>
      <c r="G5" t="s">
        <v>19</v>
      </c>
      <c r="H5" t="s">
        <v>19</v>
      </c>
      <c r="I5" t="s">
        <v>19</v>
      </c>
      <c r="J5" t="s">
        <v>19</v>
      </c>
      <c r="K5" s="2">
        <v>11.12</v>
      </c>
      <c r="L5" s="2">
        <v>0</v>
      </c>
      <c r="M5" s="2">
        <v>-11.12</v>
      </c>
      <c r="N5" t="s">
        <v>20</v>
      </c>
    </row>
    <row r="6" spans="1:14">
      <c r="A6" t="s">
        <v>33</v>
      </c>
      <c r="B6" s="18">
        <v>46114</v>
      </c>
      <c r="C6" t="s">
        <v>15</v>
      </c>
      <c r="D6" t="s">
        <v>30</v>
      </c>
      <c r="E6" t="s">
        <v>24</v>
      </c>
      <c r="F6" t="s">
        <v>34</v>
      </c>
      <c r="G6" t="s">
        <v>19</v>
      </c>
      <c r="H6" t="s">
        <v>19</v>
      </c>
      <c r="I6" t="s">
        <v>19</v>
      </c>
      <c r="J6" t="s">
        <v>19</v>
      </c>
      <c r="K6" s="2">
        <v>32.090000000000003</v>
      </c>
      <c r="L6" s="2">
        <v>0</v>
      </c>
      <c r="M6" s="2">
        <v>-32.090000000000003</v>
      </c>
      <c r="N6" t="s">
        <v>20</v>
      </c>
    </row>
    <row r="7" spans="1:14">
      <c r="A7" t="s">
        <v>35</v>
      </c>
      <c r="B7" s="18">
        <v>46124</v>
      </c>
      <c r="C7" t="s">
        <v>36</v>
      </c>
      <c r="D7" t="s">
        <v>23</v>
      </c>
      <c r="E7" t="s">
        <v>17</v>
      </c>
      <c r="F7" t="s">
        <v>37</v>
      </c>
      <c r="G7" t="s">
        <v>26</v>
      </c>
      <c r="H7" t="s">
        <v>26</v>
      </c>
      <c r="I7" t="s">
        <v>19</v>
      </c>
      <c r="J7" t="s">
        <v>26</v>
      </c>
      <c r="K7" s="2">
        <v>39.909999999999997</v>
      </c>
      <c r="L7" s="2">
        <v>1178.55</v>
      </c>
      <c r="M7" s="2">
        <v>1138.6400000000001</v>
      </c>
      <c r="N7" t="s">
        <v>38</v>
      </c>
    </row>
    <row r="8" spans="1:14">
      <c r="A8" t="s">
        <v>39</v>
      </c>
      <c r="B8" s="18">
        <v>46130</v>
      </c>
      <c r="C8" t="s">
        <v>15</v>
      </c>
      <c r="D8" t="s">
        <v>30</v>
      </c>
      <c r="E8" t="s">
        <v>17</v>
      </c>
      <c r="F8" t="s">
        <v>18</v>
      </c>
      <c r="G8" t="s">
        <v>26</v>
      </c>
      <c r="H8" t="s">
        <v>26</v>
      </c>
      <c r="I8" t="s">
        <v>26</v>
      </c>
      <c r="J8" t="s">
        <v>26</v>
      </c>
      <c r="K8" s="2">
        <v>34.94</v>
      </c>
      <c r="L8" s="2">
        <v>663.71</v>
      </c>
      <c r="M8" s="2">
        <v>628.77</v>
      </c>
      <c r="N8" t="s">
        <v>38</v>
      </c>
    </row>
    <row r="9" spans="1:14">
      <c r="A9" t="s">
        <v>40</v>
      </c>
      <c r="B9" s="18">
        <v>46150</v>
      </c>
      <c r="C9" t="s">
        <v>22</v>
      </c>
      <c r="D9" t="s">
        <v>41</v>
      </c>
      <c r="E9" t="s">
        <v>42</v>
      </c>
      <c r="F9" t="s">
        <v>18</v>
      </c>
      <c r="G9" t="s">
        <v>26</v>
      </c>
      <c r="H9" t="s">
        <v>19</v>
      </c>
      <c r="I9" t="s">
        <v>19</v>
      </c>
      <c r="J9" t="s">
        <v>19</v>
      </c>
      <c r="K9" s="2">
        <v>44.52</v>
      </c>
      <c r="L9" s="2">
        <v>0</v>
      </c>
      <c r="M9" s="2">
        <v>-44.52</v>
      </c>
      <c r="N9" t="s">
        <v>27</v>
      </c>
    </row>
    <row r="10" spans="1:14">
      <c r="A10" t="s">
        <v>43</v>
      </c>
      <c r="B10" s="18">
        <v>46156</v>
      </c>
      <c r="C10" t="s">
        <v>36</v>
      </c>
      <c r="D10" t="s">
        <v>16</v>
      </c>
      <c r="E10" t="s">
        <v>31</v>
      </c>
      <c r="F10" t="s">
        <v>25</v>
      </c>
      <c r="G10" t="s">
        <v>19</v>
      </c>
      <c r="H10" t="s">
        <v>19</v>
      </c>
      <c r="I10" t="s">
        <v>19</v>
      </c>
      <c r="J10" t="s">
        <v>19</v>
      </c>
      <c r="K10" s="2">
        <v>10.67</v>
      </c>
      <c r="L10" s="2">
        <v>0</v>
      </c>
      <c r="M10" s="2">
        <v>-10.67</v>
      </c>
      <c r="N10" t="s">
        <v>20</v>
      </c>
    </row>
    <row r="11" spans="1:14">
      <c r="A11" t="s">
        <v>44</v>
      </c>
      <c r="B11" s="18">
        <v>46142</v>
      </c>
      <c r="C11" t="s">
        <v>22</v>
      </c>
      <c r="D11" t="s">
        <v>16</v>
      </c>
      <c r="E11" t="s">
        <v>31</v>
      </c>
      <c r="F11" t="s">
        <v>18</v>
      </c>
      <c r="G11" t="s">
        <v>26</v>
      </c>
      <c r="H11" t="s">
        <v>19</v>
      </c>
      <c r="I11" t="s">
        <v>19</v>
      </c>
      <c r="J11" t="s">
        <v>19</v>
      </c>
      <c r="K11" s="2">
        <v>14.58</v>
      </c>
      <c r="L11" s="2">
        <v>0</v>
      </c>
      <c r="M11" s="2">
        <v>-14.58</v>
      </c>
      <c r="N11" t="s">
        <v>27</v>
      </c>
    </row>
    <row r="12" spans="1:14">
      <c r="A12" t="s">
        <v>45</v>
      </c>
      <c r="B12" s="18">
        <v>46120</v>
      </c>
      <c r="C12" t="s">
        <v>29</v>
      </c>
      <c r="D12" t="s">
        <v>23</v>
      </c>
      <c r="E12" t="s">
        <v>31</v>
      </c>
      <c r="F12" t="s">
        <v>34</v>
      </c>
      <c r="G12" t="s">
        <v>19</v>
      </c>
      <c r="H12" t="s">
        <v>19</v>
      </c>
      <c r="I12" t="s">
        <v>19</v>
      </c>
      <c r="J12" t="s">
        <v>19</v>
      </c>
      <c r="K12" s="2">
        <v>12.77</v>
      </c>
      <c r="L12" s="2">
        <v>0</v>
      </c>
      <c r="M12" s="2">
        <v>-12.77</v>
      </c>
      <c r="N12" t="s">
        <v>20</v>
      </c>
    </row>
    <row r="13" spans="1:14">
      <c r="A13" t="s">
        <v>46</v>
      </c>
      <c r="B13" s="18">
        <v>46154</v>
      </c>
      <c r="C13" t="s">
        <v>36</v>
      </c>
      <c r="D13" t="s">
        <v>23</v>
      </c>
      <c r="E13" t="s">
        <v>31</v>
      </c>
      <c r="F13" t="s">
        <v>37</v>
      </c>
      <c r="G13" t="s">
        <v>19</v>
      </c>
      <c r="H13" t="s">
        <v>19</v>
      </c>
      <c r="I13" t="s">
        <v>19</v>
      </c>
      <c r="J13" t="s">
        <v>19</v>
      </c>
      <c r="K13" s="2">
        <v>11.92</v>
      </c>
      <c r="L13" s="2">
        <v>0</v>
      </c>
      <c r="M13" s="2">
        <v>-11.92</v>
      </c>
      <c r="N13" t="s">
        <v>20</v>
      </c>
    </row>
    <row r="14" spans="1:14">
      <c r="A14" t="s">
        <v>47</v>
      </c>
      <c r="B14" s="18">
        <v>46135</v>
      </c>
      <c r="C14" t="s">
        <v>29</v>
      </c>
      <c r="D14" t="s">
        <v>30</v>
      </c>
      <c r="E14" t="s">
        <v>31</v>
      </c>
      <c r="F14" t="s">
        <v>34</v>
      </c>
      <c r="G14" t="s">
        <v>26</v>
      </c>
      <c r="H14" t="s">
        <v>19</v>
      </c>
      <c r="I14" t="s">
        <v>19</v>
      </c>
      <c r="J14" t="s">
        <v>19</v>
      </c>
      <c r="K14" s="2">
        <v>15</v>
      </c>
      <c r="L14" s="2">
        <v>0</v>
      </c>
      <c r="M14" s="2">
        <v>-15</v>
      </c>
      <c r="N14" t="s">
        <v>27</v>
      </c>
    </row>
    <row r="15" spans="1:14">
      <c r="A15" t="s">
        <v>48</v>
      </c>
      <c r="B15" s="18">
        <v>46156</v>
      </c>
      <c r="C15" t="s">
        <v>29</v>
      </c>
      <c r="D15" t="s">
        <v>30</v>
      </c>
      <c r="E15" t="s">
        <v>31</v>
      </c>
      <c r="F15" t="s">
        <v>25</v>
      </c>
      <c r="G15" t="s">
        <v>19</v>
      </c>
      <c r="H15" t="s">
        <v>19</v>
      </c>
      <c r="I15" t="s">
        <v>19</v>
      </c>
      <c r="J15" t="s">
        <v>19</v>
      </c>
      <c r="K15" s="2">
        <v>14.84</v>
      </c>
      <c r="L15" s="2">
        <v>0</v>
      </c>
      <c r="M15" s="2">
        <v>-14.84</v>
      </c>
      <c r="N15" t="s">
        <v>20</v>
      </c>
    </row>
    <row r="16" spans="1:14">
      <c r="A16" t="s">
        <v>49</v>
      </c>
      <c r="B16" s="18">
        <v>46142</v>
      </c>
      <c r="C16" t="s">
        <v>22</v>
      </c>
      <c r="D16" t="s">
        <v>41</v>
      </c>
      <c r="E16" t="s">
        <v>17</v>
      </c>
      <c r="F16" t="s">
        <v>18</v>
      </c>
      <c r="G16" t="s">
        <v>19</v>
      </c>
      <c r="H16" t="s">
        <v>19</v>
      </c>
      <c r="I16" t="s">
        <v>19</v>
      </c>
      <c r="J16" t="s">
        <v>19</v>
      </c>
      <c r="K16" s="2">
        <v>33.85</v>
      </c>
      <c r="L16" s="2">
        <v>0</v>
      </c>
      <c r="M16" s="2">
        <v>-33.85</v>
      </c>
      <c r="N16" t="s">
        <v>20</v>
      </c>
    </row>
    <row r="17" spans="1:14">
      <c r="A17" t="s">
        <v>50</v>
      </c>
      <c r="B17" s="18">
        <v>46157</v>
      </c>
      <c r="C17" t="s">
        <v>29</v>
      </c>
      <c r="D17" t="s">
        <v>41</v>
      </c>
      <c r="E17" t="s">
        <v>24</v>
      </c>
      <c r="F17" t="s">
        <v>25</v>
      </c>
      <c r="G17" t="s">
        <v>26</v>
      </c>
      <c r="H17" t="s">
        <v>26</v>
      </c>
      <c r="I17" t="s">
        <v>26</v>
      </c>
      <c r="J17" t="s">
        <v>26</v>
      </c>
      <c r="K17" s="2">
        <v>29.97</v>
      </c>
      <c r="L17" s="2">
        <v>704.68</v>
      </c>
      <c r="M17" s="2">
        <v>674.71</v>
      </c>
      <c r="N17" t="s">
        <v>38</v>
      </c>
    </row>
    <row r="18" spans="1:14">
      <c r="A18" t="s">
        <v>51</v>
      </c>
      <c r="B18" s="18">
        <v>46118</v>
      </c>
      <c r="C18" t="s">
        <v>22</v>
      </c>
      <c r="D18" t="s">
        <v>16</v>
      </c>
      <c r="E18" t="s">
        <v>42</v>
      </c>
      <c r="F18" t="s">
        <v>34</v>
      </c>
      <c r="G18" t="s">
        <v>26</v>
      </c>
      <c r="H18" t="s">
        <v>19</v>
      </c>
      <c r="I18" t="s">
        <v>19</v>
      </c>
      <c r="J18" t="s">
        <v>19</v>
      </c>
      <c r="K18" s="2">
        <v>44.35</v>
      </c>
      <c r="L18" s="2">
        <v>0</v>
      </c>
      <c r="M18" s="2">
        <v>-44.35</v>
      </c>
      <c r="N18" t="s">
        <v>27</v>
      </c>
    </row>
    <row r="19" spans="1:14">
      <c r="A19" t="s">
        <v>52</v>
      </c>
      <c r="B19" s="18">
        <v>46154</v>
      </c>
      <c r="C19" t="s">
        <v>15</v>
      </c>
      <c r="D19" t="s">
        <v>16</v>
      </c>
      <c r="E19" t="s">
        <v>31</v>
      </c>
      <c r="F19" t="s">
        <v>25</v>
      </c>
      <c r="G19" t="s">
        <v>26</v>
      </c>
      <c r="H19" t="s">
        <v>19</v>
      </c>
      <c r="I19" t="s">
        <v>19</v>
      </c>
      <c r="J19" t="s">
        <v>19</v>
      </c>
      <c r="K19" s="2">
        <v>21.3</v>
      </c>
      <c r="L19" s="2">
        <v>0</v>
      </c>
      <c r="M19" s="2">
        <v>-21.3</v>
      </c>
      <c r="N19" t="s">
        <v>27</v>
      </c>
    </row>
    <row r="20" spans="1:14">
      <c r="A20" t="s">
        <v>53</v>
      </c>
      <c r="B20" s="18">
        <v>46135</v>
      </c>
      <c r="C20" t="s">
        <v>29</v>
      </c>
      <c r="D20" t="s">
        <v>30</v>
      </c>
      <c r="E20" t="s">
        <v>17</v>
      </c>
      <c r="F20" t="s">
        <v>34</v>
      </c>
      <c r="G20" t="s">
        <v>19</v>
      </c>
      <c r="H20" t="s">
        <v>19</v>
      </c>
      <c r="I20" t="s">
        <v>19</v>
      </c>
      <c r="J20" t="s">
        <v>19</v>
      </c>
      <c r="K20" s="2">
        <v>26.23</v>
      </c>
      <c r="L20" s="2">
        <v>0</v>
      </c>
      <c r="M20" s="2">
        <v>-26.23</v>
      </c>
      <c r="N20" t="s">
        <v>20</v>
      </c>
    </row>
    <row r="21" spans="1:14">
      <c r="A21" t="s">
        <v>54</v>
      </c>
      <c r="B21" s="18">
        <v>46156</v>
      </c>
      <c r="C21" t="s">
        <v>15</v>
      </c>
      <c r="D21" t="s">
        <v>30</v>
      </c>
      <c r="E21" t="s">
        <v>17</v>
      </c>
      <c r="F21" t="s">
        <v>18</v>
      </c>
      <c r="G21" t="s">
        <v>19</v>
      </c>
      <c r="H21" t="s">
        <v>19</v>
      </c>
      <c r="I21" t="s">
        <v>19</v>
      </c>
      <c r="J21" t="s">
        <v>19</v>
      </c>
      <c r="K21" s="2">
        <v>36.770000000000003</v>
      </c>
      <c r="L21" s="2">
        <v>0</v>
      </c>
      <c r="M21" s="2">
        <v>-36.770000000000003</v>
      </c>
      <c r="N21" t="s">
        <v>20</v>
      </c>
    </row>
    <row r="22" spans="1:14">
      <c r="A22" t="s">
        <v>55</v>
      </c>
      <c r="B22" s="18">
        <v>46120</v>
      </c>
      <c r="C22" t="s">
        <v>22</v>
      </c>
      <c r="D22" t="s">
        <v>16</v>
      </c>
      <c r="E22" t="s">
        <v>42</v>
      </c>
      <c r="F22" t="s">
        <v>25</v>
      </c>
      <c r="G22" t="s">
        <v>19</v>
      </c>
      <c r="H22" t="s">
        <v>19</v>
      </c>
      <c r="I22" t="s">
        <v>19</v>
      </c>
      <c r="J22" t="s">
        <v>19</v>
      </c>
      <c r="K22" s="2">
        <v>39.19</v>
      </c>
      <c r="L22" s="2">
        <v>0</v>
      </c>
      <c r="M22" s="2">
        <v>-39.19</v>
      </c>
      <c r="N22" t="s">
        <v>20</v>
      </c>
    </row>
    <row r="23" spans="1:14">
      <c r="A23" t="s">
        <v>56</v>
      </c>
      <c r="B23" s="18">
        <v>46149</v>
      </c>
      <c r="C23" t="s">
        <v>36</v>
      </c>
      <c r="D23" t="s">
        <v>30</v>
      </c>
      <c r="E23" t="s">
        <v>24</v>
      </c>
      <c r="F23" t="s">
        <v>25</v>
      </c>
      <c r="G23" t="s">
        <v>19</v>
      </c>
      <c r="H23" t="s">
        <v>19</v>
      </c>
      <c r="I23" t="s">
        <v>19</v>
      </c>
      <c r="J23" t="s">
        <v>19</v>
      </c>
      <c r="K23" s="2">
        <v>32.85</v>
      </c>
      <c r="L23" s="2">
        <v>0</v>
      </c>
      <c r="M23" s="2">
        <v>-32.85</v>
      </c>
      <c r="N23" t="s">
        <v>20</v>
      </c>
    </row>
    <row r="24" spans="1:14">
      <c r="A24" t="s">
        <v>57</v>
      </c>
      <c r="B24" s="18">
        <v>46143</v>
      </c>
      <c r="C24" t="s">
        <v>15</v>
      </c>
      <c r="D24" t="s">
        <v>23</v>
      </c>
      <c r="E24" t="s">
        <v>31</v>
      </c>
      <c r="F24" t="s">
        <v>25</v>
      </c>
      <c r="G24" t="s">
        <v>26</v>
      </c>
      <c r="H24" t="s">
        <v>19</v>
      </c>
      <c r="I24" t="s">
        <v>19</v>
      </c>
      <c r="J24" t="s">
        <v>19</v>
      </c>
      <c r="K24" s="2">
        <v>13.3</v>
      </c>
      <c r="L24" s="2">
        <v>0</v>
      </c>
      <c r="M24" s="2">
        <v>-13.3</v>
      </c>
      <c r="N24" t="s">
        <v>27</v>
      </c>
    </row>
    <row r="25" spans="1:14">
      <c r="A25" t="s">
        <v>58</v>
      </c>
      <c r="B25" s="18">
        <v>46151</v>
      </c>
      <c r="C25" t="s">
        <v>22</v>
      </c>
      <c r="D25" t="s">
        <v>16</v>
      </c>
      <c r="E25" t="s">
        <v>31</v>
      </c>
      <c r="F25" t="s">
        <v>34</v>
      </c>
      <c r="G25" t="s">
        <v>26</v>
      </c>
      <c r="H25" t="s">
        <v>19</v>
      </c>
      <c r="I25" t="s">
        <v>19</v>
      </c>
      <c r="J25" t="s">
        <v>19</v>
      </c>
      <c r="K25" s="2">
        <v>16.670000000000002</v>
      </c>
      <c r="L25" s="2">
        <v>0</v>
      </c>
      <c r="M25" s="2">
        <v>-16.670000000000002</v>
      </c>
      <c r="N25" t="s">
        <v>27</v>
      </c>
    </row>
    <row r="26" spans="1:14">
      <c r="A26" t="s">
        <v>59</v>
      </c>
      <c r="B26" s="18">
        <v>46148</v>
      </c>
      <c r="C26" t="s">
        <v>29</v>
      </c>
      <c r="D26" t="s">
        <v>41</v>
      </c>
      <c r="E26" t="s">
        <v>31</v>
      </c>
      <c r="F26" t="s">
        <v>34</v>
      </c>
      <c r="G26" t="s">
        <v>19</v>
      </c>
      <c r="H26" t="s">
        <v>19</v>
      </c>
      <c r="I26" t="s">
        <v>19</v>
      </c>
      <c r="J26" t="s">
        <v>19</v>
      </c>
      <c r="K26" s="2">
        <v>13.92</v>
      </c>
      <c r="L26" s="2">
        <v>0</v>
      </c>
      <c r="M26" s="2">
        <v>-13.92</v>
      </c>
      <c r="N26" t="s">
        <v>20</v>
      </c>
    </row>
    <row r="27" spans="1:14">
      <c r="A27" t="s">
        <v>60</v>
      </c>
      <c r="B27" s="18">
        <v>46143</v>
      </c>
      <c r="C27" t="s">
        <v>29</v>
      </c>
      <c r="D27" t="s">
        <v>41</v>
      </c>
      <c r="E27" t="s">
        <v>17</v>
      </c>
      <c r="F27" t="s">
        <v>18</v>
      </c>
      <c r="G27" t="s">
        <v>19</v>
      </c>
      <c r="H27" t="s">
        <v>19</v>
      </c>
      <c r="I27" t="s">
        <v>19</v>
      </c>
      <c r="J27" t="s">
        <v>19</v>
      </c>
      <c r="K27" s="2">
        <v>41.85</v>
      </c>
      <c r="L27" s="2">
        <v>0</v>
      </c>
      <c r="M27" s="2">
        <v>-41.85</v>
      </c>
      <c r="N27" t="s">
        <v>20</v>
      </c>
    </row>
    <row r="28" spans="1:14">
      <c r="A28" t="s">
        <v>61</v>
      </c>
      <c r="B28" s="18">
        <v>46115</v>
      </c>
      <c r="C28" t="s">
        <v>29</v>
      </c>
      <c r="D28" t="s">
        <v>23</v>
      </c>
      <c r="E28" t="s">
        <v>31</v>
      </c>
      <c r="F28" t="s">
        <v>18</v>
      </c>
      <c r="G28" t="s">
        <v>26</v>
      </c>
      <c r="H28" t="s">
        <v>19</v>
      </c>
      <c r="I28" t="s">
        <v>19</v>
      </c>
      <c r="J28" t="s">
        <v>19</v>
      </c>
      <c r="K28" s="2">
        <v>12.92</v>
      </c>
      <c r="L28" s="2">
        <v>0</v>
      </c>
      <c r="M28" s="2">
        <v>-12.92</v>
      </c>
      <c r="N28" t="s">
        <v>27</v>
      </c>
    </row>
    <row r="29" spans="1:14">
      <c r="A29" t="s">
        <v>62</v>
      </c>
      <c r="B29" s="18">
        <v>46149</v>
      </c>
      <c r="C29" t="s">
        <v>29</v>
      </c>
      <c r="D29" t="s">
        <v>23</v>
      </c>
      <c r="E29" t="s">
        <v>24</v>
      </c>
      <c r="F29" t="s">
        <v>25</v>
      </c>
      <c r="G29" t="s">
        <v>19</v>
      </c>
      <c r="H29" t="s">
        <v>19</v>
      </c>
      <c r="I29" t="s">
        <v>19</v>
      </c>
      <c r="J29" t="s">
        <v>19</v>
      </c>
      <c r="K29" s="2">
        <v>33.229999999999997</v>
      </c>
      <c r="L29" s="2">
        <v>0</v>
      </c>
      <c r="M29" s="2">
        <v>-33.229999999999997</v>
      </c>
      <c r="N29" t="s">
        <v>20</v>
      </c>
    </row>
    <row r="30" spans="1:14">
      <c r="A30" t="s">
        <v>63</v>
      </c>
      <c r="B30" s="18">
        <v>46148</v>
      </c>
      <c r="C30" t="s">
        <v>29</v>
      </c>
      <c r="D30" t="s">
        <v>23</v>
      </c>
      <c r="E30" t="s">
        <v>42</v>
      </c>
      <c r="F30" t="s">
        <v>37</v>
      </c>
      <c r="G30" t="s">
        <v>26</v>
      </c>
      <c r="H30" t="s">
        <v>19</v>
      </c>
      <c r="I30" t="s">
        <v>19</v>
      </c>
      <c r="J30" t="s">
        <v>19</v>
      </c>
      <c r="K30" s="2">
        <v>52.29</v>
      </c>
      <c r="L30" s="2">
        <v>0</v>
      </c>
      <c r="M30" s="2">
        <v>-52.29</v>
      </c>
      <c r="N30" t="s">
        <v>27</v>
      </c>
    </row>
    <row r="31" spans="1:14">
      <c r="A31" t="s">
        <v>64</v>
      </c>
      <c r="B31" s="18">
        <v>46134</v>
      </c>
      <c r="C31" t="s">
        <v>36</v>
      </c>
      <c r="D31" t="s">
        <v>23</v>
      </c>
      <c r="E31" t="s">
        <v>42</v>
      </c>
      <c r="F31" t="s">
        <v>37</v>
      </c>
      <c r="G31" t="s">
        <v>19</v>
      </c>
      <c r="H31" t="s">
        <v>19</v>
      </c>
      <c r="I31" t="s">
        <v>19</v>
      </c>
      <c r="J31" t="s">
        <v>19</v>
      </c>
      <c r="K31" s="2">
        <v>49.55</v>
      </c>
      <c r="L31" s="2">
        <v>0</v>
      </c>
      <c r="M31" s="2">
        <v>-49.55</v>
      </c>
      <c r="N31" t="s">
        <v>20</v>
      </c>
    </row>
    <row r="32" spans="1:14">
      <c r="A32" t="s">
        <v>65</v>
      </c>
      <c r="B32" s="18">
        <v>46144</v>
      </c>
      <c r="C32" t="s">
        <v>36</v>
      </c>
      <c r="D32" t="s">
        <v>16</v>
      </c>
      <c r="E32" t="s">
        <v>17</v>
      </c>
      <c r="F32" t="s">
        <v>34</v>
      </c>
      <c r="G32" t="s">
        <v>19</v>
      </c>
      <c r="H32" t="s">
        <v>19</v>
      </c>
      <c r="I32" t="s">
        <v>19</v>
      </c>
      <c r="J32" t="s">
        <v>19</v>
      </c>
      <c r="K32" s="2">
        <v>25.45</v>
      </c>
      <c r="L32" s="2">
        <v>0</v>
      </c>
      <c r="M32" s="2">
        <v>-25.45</v>
      </c>
      <c r="N32" t="s">
        <v>20</v>
      </c>
    </row>
    <row r="33" spans="1:14">
      <c r="A33" t="s">
        <v>66</v>
      </c>
      <c r="B33" s="18">
        <v>46153</v>
      </c>
      <c r="C33" t="s">
        <v>22</v>
      </c>
      <c r="D33" t="s">
        <v>16</v>
      </c>
      <c r="E33" t="s">
        <v>31</v>
      </c>
      <c r="F33" t="s">
        <v>18</v>
      </c>
      <c r="G33" t="s">
        <v>19</v>
      </c>
      <c r="H33" t="s">
        <v>19</v>
      </c>
      <c r="I33" t="s">
        <v>19</v>
      </c>
      <c r="J33" t="s">
        <v>19</v>
      </c>
      <c r="K33" s="2">
        <v>12.68</v>
      </c>
      <c r="L33" s="2">
        <v>0</v>
      </c>
      <c r="M33" s="2">
        <v>-12.68</v>
      </c>
      <c r="N33" t="s">
        <v>20</v>
      </c>
    </row>
    <row r="34" spans="1:14">
      <c r="A34" t="s">
        <v>67</v>
      </c>
      <c r="B34" s="18">
        <v>46138</v>
      </c>
      <c r="C34" t="s">
        <v>36</v>
      </c>
      <c r="D34" t="s">
        <v>41</v>
      </c>
      <c r="E34" t="s">
        <v>42</v>
      </c>
      <c r="F34" t="s">
        <v>34</v>
      </c>
      <c r="G34" t="s">
        <v>19</v>
      </c>
      <c r="H34" t="s">
        <v>19</v>
      </c>
      <c r="I34" t="s">
        <v>19</v>
      </c>
      <c r="J34" t="s">
        <v>19</v>
      </c>
      <c r="K34" s="2">
        <v>68.63</v>
      </c>
      <c r="L34" s="2">
        <v>0</v>
      </c>
      <c r="M34" s="2">
        <v>-68.63</v>
      </c>
      <c r="N34" t="s">
        <v>20</v>
      </c>
    </row>
    <row r="35" spans="1:14">
      <c r="A35" t="s">
        <v>68</v>
      </c>
      <c r="B35" s="18">
        <v>46134</v>
      </c>
      <c r="C35" t="s">
        <v>22</v>
      </c>
      <c r="D35" t="s">
        <v>23</v>
      </c>
      <c r="E35" t="s">
        <v>42</v>
      </c>
      <c r="F35" t="s">
        <v>37</v>
      </c>
      <c r="G35" t="s">
        <v>26</v>
      </c>
      <c r="H35" t="s">
        <v>26</v>
      </c>
      <c r="I35" t="s">
        <v>26</v>
      </c>
      <c r="J35" t="s">
        <v>26</v>
      </c>
      <c r="K35" s="2">
        <v>51.09</v>
      </c>
      <c r="L35" s="2">
        <v>1009.85</v>
      </c>
      <c r="M35" s="2">
        <v>958.76</v>
      </c>
      <c r="N35" t="s">
        <v>38</v>
      </c>
    </row>
    <row r="36" spans="1:14">
      <c r="A36" t="s">
        <v>69</v>
      </c>
      <c r="B36" s="18">
        <v>46118</v>
      </c>
      <c r="C36" t="s">
        <v>15</v>
      </c>
      <c r="D36" t="s">
        <v>16</v>
      </c>
      <c r="E36" t="s">
        <v>42</v>
      </c>
      <c r="F36" t="s">
        <v>25</v>
      </c>
      <c r="G36" t="s">
        <v>26</v>
      </c>
      <c r="H36" t="s">
        <v>26</v>
      </c>
      <c r="I36" t="s">
        <v>26</v>
      </c>
      <c r="J36" t="s">
        <v>26</v>
      </c>
      <c r="K36" s="2">
        <v>36.29</v>
      </c>
      <c r="L36" s="2">
        <v>1052.43</v>
      </c>
      <c r="M36" s="2">
        <v>1016.14</v>
      </c>
      <c r="N36" t="s">
        <v>38</v>
      </c>
    </row>
    <row r="37" spans="1:14">
      <c r="A37" t="s">
        <v>70</v>
      </c>
      <c r="B37" s="18">
        <v>46136</v>
      </c>
      <c r="C37" t="s">
        <v>15</v>
      </c>
      <c r="D37" t="s">
        <v>30</v>
      </c>
      <c r="E37" t="s">
        <v>31</v>
      </c>
      <c r="F37" t="s">
        <v>18</v>
      </c>
      <c r="G37" t="s">
        <v>19</v>
      </c>
      <c r="H37" t="s">
        <v>19</v>
      </c>
      <c r="I37" t="s">
        <v>19</v>
      </c>
      <c r="J37" t="s">
        <v>19</v>
      </c>
      <c r="K37" s="2">
        <v>11.48</v>
      </c>
      <c r="L37" s="2">
        <v>0</v>
      </c>
      <c r="M37" s="2">
        <v>-11.48</v>
      </c>
      <c r="N37" t="s">
        <v>20</v>
      </c>
    </row>
    <row r="38" spans="1:14">
      <c r="A38" t="s">
        <v>71</v>
      </c>
      <c r="B38" s="18">
        <v>46139</v>
      </c>
      <c r="C38" t="s">
        <v>36</v>
      </c>
      <c r="D38" t="s">
        <v>41</v>
      </c>
      <c r="E38" t="s">
        <v>24</v>
      </c>
      <c r="F38" t="s">
        <v>25</v>
      </c>
      <c r="G38" t="s">
        <v>26</v>
      </c>
      <c r="H38" t="s">
        <v>19</v>
      </c>
      <c r="I38" t="s">
        <v>19</v>
      </c>
      <c r="J38" t="s">
        <v>19</v>
      </c>
      <c r="K38" s="2">
        <v>21.7</v>
      </c>
      <c r="L38" s="2">
        <v>0</v>
      </c>
      <c r="M38" s="2">
        <v>-21.7</v>
      </c>
      <c r="N38" t="s">
        <v>27</v>
      </c>
    </row>
    <row r="39" spans="1:14">
      <c r="A39" t="s">
        <v>72</v>
      </c>
      <c r="B39" s="18">
        <v>46135</v>
      </c>
      <c r="C39" t="s">
        <v>29</v>
      </c>
      <c r="D39" t="s">
        <v>23</v>
      </c>
      <c r="E39" t="s">
        <v>31</v>
      </c>
      <c r="F39" t="s">
        <v>37</v>
      </c>
      <c r="G39" t="s">
        <v>26</v>
      </c>
      <c r="H39" t="s">
        <v>26</v>
      </c>
      <c r="I39" t="s">
        <v>19</v>
      </c>
      <c r="J39" t="s">
        <v>19</v>
      </c>
      <c r="K39" s="2">
        <v>13.98</v>
      </c>
      <c r="L39" s="2">
        <v>0</v>
      </c>
      <c r="M39" s="2">
        <v>-13.98</v>
      </c>
      <c r="N39" t="s">
        <v>222</v>
      </c>
    </row>
    <row r="40" spans="1:14">
      <c r="A40" t="s">
        <v>73</v>
      </c>
      <c r="B40" s="18">
        <v>46136</v>
      </c>
      <c r="C40" t="s">
        <v>29</v>
      </c>
      <c r="D40" t="s">
        <v>16</v>
      </c>
      <c r="E40" t="s">
        <v>31</v>
      </c>
      <c r="F40" t="s">
        <v>34</v>
      </c>
      <c r="G40" t="s">
        <v>26</v>
      </c>
      <c r="H40" t="s">
        <v>19</v>
      </c>
      <c r="I40" t="s">
        <v>19</v>
      </c>
      <c r="J40" t="s">
        <v>19</v>
      </c>
      <c r="K40" s="2">
        <v>15.55</v>
      </c>
      <c r="L40" s="2">
        <v>0</v>
      </c>
      <c r="M40" s="2">
        <v>-15.55</v>
      </c>
      <c r="N40" t="s">
        <v>27</v>
      </c>
    </row>
    <row r="41" spans="1:14">
      <c r="A41" t="s">
        <v>74</v>
      </c>
      <c r="B41" s="18">
        <v>46135</v>
      </c>
      <c r="C41" t="s">
        <v>15</v>
      </c>
      <c r="D41" t="s">
        <v>41</v>
      </c>
      <c r="E41" t="s">
        <v>17</v>
      </c>
      <c r="F41" t="s">
        <v>18</v>
      </c>
      <c r="G41" t="s">
        <v>26</v>
      </c>
      <c r="H41" t="s">
        <v>19</v>
      </c>
      <c r="I41" t="s">
        <v>19</v>
      </c>
      <c r="J41" t="s">
        <v>19</v>
      </c>
      <c r="K41" s="2">
        <v>29.73</v>
      </c>
      <c r="L41" s="2">
        <v>0</v>
      </c>
      <c r="M41" s="2">
        <v>-29.73</v>
      </c>
      <c r="N41" t="s">
        <v>27</v>
      </c>
    </row>
    <row r="42" spans="1:14">
      <c r="A42" t="s">
        <v>75</v>
      </c>
      <c r="B42" s="18">
        <v>46113</v>
      </c>
      <c r="C42" t="s">
        <v>15</v>
      </c>
      <c r="D42" t="s">
        <v>41</v>
      </c>
      <c r="E42" t="s">
        <v>31</v>
      </c>
      <c r="F42" t="s">
        <v>34</v>
      </c>
      <c r="G42" t="s">
        <v>26</v>
      </c>
      <c r="H42" t="s">
        <v>19</v>
      </c>
      <c r="I42" t="s">
        <v>19</v>
      </c>
      <c r="J42" t="s">
        <v>19</v>
      </c>
      <c r="K42" s="2">
        <v>16.52</v>
      </c>
      <c r="L42" s="2">
        <v>0</v>
      </c>
      <c r="M42" s="2">
        <v>-16.52</v>
      </c>
      <c r="N42" t="s">
        <v>27</v>
      </c>
    </row>
    <row r="43" spans="1:14">
      <c r="A43" t="s">
        <v>76</v>
      </c>
      <c r="B43" s="18">
        <v>46120</v>
      </c>
      <c r="C43" t="s">
        <v>22</v>
      </c>
      <c r="D43" t="s">
        <v>41</v>
      </c>
      <c r="E43" t="s">
        <v>17</v>
      </c>
      <c r="F43" t="s">
        <v>37</v>
      </c>
      <c r="G43" t="s">
        <v>26</v>
      </c>
      <c r="H43" t="s">
        <v>26</v>
      </c>
      <c r="I43" t="s">
        <v>26</v>
      </c>
      <c r="J43" t="s">
        <v>26</v>
      </c>
      <c r="K43" s="2">
        <v>28.99</v>
      </c>
      <c r="L43" s="2">
        <v>585.35</v>
      </c>
      <c r="M43" s="2">
        <v>556.36</v>
      </c>
      <c r="N43" t="s">
        <v>38</v>
      </c>
    </row>
    <row r="44" spans="1:14">
      <c r="A44" t="s">
        <v>77</v>
      </c>
      <c r="B44" s="18">
        <v>46120</v>
      </c>
      <c r="C44" t="s">
        <v>29</v>
      </c>
      <c r="D44" t="s">
        <v>23</v>
      </c>
      <c r="E44" t="s">
        <v>42</v>
      </c>
      <c r="F44" t="s">
        <v>34</v>
      </c>
      <c r="G44" t="s">
        <v>26</v>
      </c>
      <c r="H44" t="s">
        <v>26</v>
      </c>
      <c r="I44" t="s">
        <v>19</v>
      </c>
      <c r="J44" t="s">
        <v>19</v>
      </c>
      <c r="K44" s="2">
        <v>83.32</v>
      </c>
      <c r="L44" s="2">
        <v>0</v>
      </c>
      <c r="M44" s="2">
        <v>-83.32</v>
      </c>
      <c r="N44" t="s">
        <v>222</v>
      </c>
    </row>
    <row r="45" spans="1:14">
      <c r="A45" t="s">
        <v>78</v>
      </c>
      <c r="B45" s="18">
        <v>46146</v>
      </c>
      <c r="C45" t="s">
        <v>15</v>
      </c>
      <c r="D45" t="s">
        <v>30</v>
      </c>
      <c r="E45" t="s">
        <v>42</v>
      </c>
      <c r="F45" t="s">
        <v>34</v>
      </c>
      <c r="G45" t="s">
        <v>26</v>
      </c>
      <c r="H45" t="s">
        <v>26</v>
      </c>
      <c r="I45" t="s">
        <v>19</v>
      </c>
      <c r="J45" t="s">
        <v>26</v>
      </c>
      <c r="K45" s="2">
        <v>52.48</v>
      </c>
      <c r="L45" s="2">
        <v>1429.51</v>
      </c>
      <c r="M45" s="2">
        <v>1377.03</v>
      </c>
      <c r="N45" t="s">
        <v>38</v>
      </c>
    </row>
    <row r="46" spans="1:14">
      <c r="A46" t="s">
        <v>79</v>
      </c>
      <c r="B46" s="18">
        <v>46122</v>
      </c>
      <c r="C46" t="s">
        <v>36</v>
      </c>
      <c r="D46" t="s">
        <v>23</v>
      </c>
      <c r="E46" t="s">
        <v>24</v>
      </c>
      <c r="F46" t="s">
        <v>18</v>
      </c>
      <c r="G46" t="s">
        <v>19</v>
      </c>
      <c r="H46" t="s">
        <v>19</v>
      </c>
      <c r="I46" t="s">
        <v>19</v>
      </c>
      <c r="J46" t="s">
        <v>19</v>
      </c>
      <c r="K46" s="2">
        <v>28.18</v>
      </c>
      <c r="L46" s="2">
        <v>0</v>
      </c>
      <c r="M46" s="2">
        <v>-28.18</v>
      </c>
      <c r="N46" t="s">
        <v>20</v>
      </c>
    </row>
    <row r="47" spans="1:14">
      <c r="A47" t="s">
        <v>80</v>
      </c>
      <c r="B47" s="18">
        <v>46155</v>
      </c>
      <c r="C47" t="s">
        <v>36</v>
      </c>
      <c r="D47" t="s">
        <v>16</v>
      </c>
      <c r="E47" t="s">
        <v>31</v>
      </c>
      <c r="F47" t="s">
        <v>18</v>
      </c>
      <c r="G47" t="s">
        <v>19</v>
      </c>
      <c r="H47" t="s">
        <v>19</v>
      </c>
      <c r="I47" t="s">
        <v>19</v>
      </c>
      <c r="J47" t="s">
        <v>19</v>
      </c>
      <c r="K47" s="2">
        <v>15.6</v>
      </c>
      <c r="L47" s="2">
        <v>0</v>
      </c>
      <c r="M47" s="2">
        <v>-15.6</v>
      </c>
      <c r="N47" t="s">
        <v>20</v>
      </c>
    </row>
    <row r="48" spans="1:14">
      <c r="A48" t="s">
        <v>81</v>
      </c>
      <c r="B48" s="18">
        <v>46141</v>
      </c>
      <c r="C48" t="s">
        <v>15</v>
      </c>
      <c r="D48" t="s">
        <v>16</v>
      </c>
      <c r="E48" t="s">
        <v>17</v>
      </c>
      <c r="F48" t="s">
        <v>34</v>
      </c>
      <c r="G48" t="s">
        <v>19</v>
      </c>
      <c r="H48" t="s">
        <v>19</v>
      </c>
      <c r="I48" t="s">
        <v>19</v>
      </c>
      <c r="J48" t="s">
        <v>19</v>
      </c>
      <c r="K48" s="2">
        <v>36.83</v>
      </c>
      <c r="L48" s="2">
        <v>0</v>
      </c>
      <c r="M48" s="2">
        <v>-36.83</v>
      </c>
      <c r="N48" t="s">
        <v>20</v>
      </c>
    </row>
    <row r="49" spans="1:14">
      <c r="A49" t="s">
        <v>82</v>
      </c>
      <c r="B49" s="18">
        <v>46138</v>
      </c>
      <c r="C49" t="s">
        <v>36</v>
      </c>
      <c r="D49" t="s">
        <v>16</v>
      </c>
      <c r="E49" t="s">
        <v>31</v>
      </c>
      <c r="F49" t="s">
        <v>25</v>
      </c>
      <c r="G49" t="s">
        <v>19</v>
      </c>
      <c r="H49" t="s">
        <v>19</v>
      </c>
      <c r="I49" t="s">
        <v>19</v>
      </c>
      <c r="J49" t="s">
        <v>19</v>
      </c>
      <c r="K49" s="2">
        <v>13.96</v>
      </c>
      <c r="L49" s="2">
        <v>0</v>
      </c>
      <c r="M49" s="2">
        <v>-13.96</v>
      </c>
      <c r="N49" t="s">
        <v>20</v>
      </c>
    </row>
    <row r="50" spans="1:14">
      <c r="A50" t="s">
        <v>83</v>
      </c>
      <c r="B50" s="18">
        <v>46139</v>
      </c>
      <c r="C50" t="s">
        <v>22</v>
      </c>
      <c r="D50" t="s">
        <v>30</v>
      </c>
      <c r="E50" t="s">
        <v>31</v>
      </c>
      <c r="F50" t="s">
        <v>18</v>
      </c>
      <c r="G50" t="s">
        <v>26</v>
      </c>
      <c r="H50" t="s">
        <v>19</v>
      </c>
      <c r="I50" t="s">
        <v>19</v>
      </c>
      <c r="J50" t="s">
        <v>19</v>
      </c>
      <c r="K50" s="2">
        <v>15.89</v>
      </c>
      <c r="L50" s="2">
        <v>0</v>
      </c>
      <c r="M50" s="2">
        <v>-15.89</v>
      </c>
      <c r="N50" t="s">
        <v>27</v>
      </c>
    </row>
    <row r="51" spans="1:14">
      <c r="A51" t="s">
        <v>84</v>
      </c>
      <c r="B51" s="18">
        <v>46148</v>
      </c>
      <c r="C51" t="s">
        <v>22</v>
      </c>
      <c r="D51" t="s">
        <v>16</v>
      </c>
      <c r="E51" t="s">
        <v>17</v>
      </c>
      <c r="F51" t="s">
        <v>37</v>
      </c>
      <c r="G51" t="s">
        <v>26</v>
      </c>
      <c r="H51" t="s">
        <v>19</v>
      </c>
      <c r="I51" t="s">
        <v>19</v>
      </c>
      <c r="J51" t="s">
        <v>19</v>
      </c>
      <c r="K51" s="2">
        <v>30.71</v>
      </c>
      <c r="L51" s="2">
        <v>0</v>
      </c>
      <c r="M51" s="2">
        <v>-30.71</v>
      </c>
      <c r="N51" t="s">
        <v>27</v>
      </c>
    </row>
    <row r="52" spans="1:14">
      <c r="A52" t="s">
        <v>85</v>
      </c>
      <c r="B52" s="18">
        <v>46143</v>
      </c>
      <c r="C52" t="s">
        <v>15</v>
      </c>
      <c r="D52" t="s">
        <v>41</v>
      </c>
      <c r="E52" t="s">
        <v>24</v>
      </c>
      <c r="F52" t="s">
        <v>18</v>
      </c>
      <c r="G52" t="s">
        <v>19</v>
      </c>
      <c r="H52" t="s">
        <v>19</v>
      </c>
      <c r="I52" t="s">
        <v>19</v>
      </c>
      <c r="J52" t="s">
        <v>19</v>
      </c>
      <c r="K52" s="2">
        <v>17.86</v>
      </c>
      <c r="L52" s="2">
        <v>0</v>
      </c>
      <c r="M52" s="2">
        <v>-17.86</v>
      </c>
      <c r="N52" t="s">
        <v>20</v>
      </c>
    </row>
    <row r="53" spans="1:14">
      <c r="A53" t="s">
        <v>86</v>
      </c>
      <c r="B53" s="18">
        <v>46131</v>
      </c>
      <c r="C53" t="s">
        <v>36</v>
      </c>
      <c r="D53" t="s">
        <v>16</v>
      </c>
      <c r="E53" t="s">
        <v>24</v>
      </c>
      <c r="F53" t="s">
        <v>18</v>
      </c>
      <c r="G53" t="s">
        <v>19</v>
      </c>
      <c r="H53" t="s">
        <v>19</v>
      </c>
      <c r="I53" t="s">
        <v>19</v>
      </c>
      <c r="J53" t="s">
        <v>19</v>
      </c>
      <c r="K53" s="2">
        <v>25.25</v>
      </c>
      <c r="L53" s="2">
        <v>0</v>
      </c>
      <c r="M53" s="2">
        <v>-25.25</v>
      </c>
      <c r="N53" t="s">
        <v>20</v>
      </c>
    </row>
    <row r="54" spans="1:14">
      <c r="A54" t="s">
        <v>87</v>
      </c>
      <c r="B54" s="18">
        <v>46114</v>
      </c>
      <c r="C54" t="s">
        <v>36</v>
      </c>
      <c r="D54" t="s">
        <v>16</v>
      </c>
      <c r="E54" t="s">
        <v>42</v>
      </c>
      <c r="F54" t="s">
        <v>34</v>
      </c>
      <c r="G54" t="s">
        <v>26</v>
      </c>
      <c r="H54" t="s">
        <v>26</v>
      </c>
      <c r="I54" t="s">
        <v>26</v>
      </c>
      <c r="J54" t="s">
        <v>26</v>
      </c>
      <c r="K54" s="2">
        <v>60.82</v>
      </c>
      <c r="L54" s="2">
        <v>1664.07</v>
      </c>
      <c r="M54" s="2">
        <v>1603.25</v>
      </c>
      <c r="N54" t="s">
        <v>38</v>
      </c>
    </row>
    <row r="55" spans="1:14">
      <c r="A55" t="s">
        <v>88</v>
      </c>
      <c r="B55" s="18">
        <v>46115</v>
      </c>
      <c r="C55" t="s">
        <v>36</v>
      </c>
      <c r="D55" t="s">
        <v>41</v>
      </c>
      <c r="E55" t="s">
        <v>17</v>
      </c>
      <c r="F55" t="s">
        <v>18</v>
      </c>
      <c r="G55" t="s">
        <v>19</v>
      </c>
      <c r="H55" t="s">
        <v>19</v>
      </c>
      <c r="I55" t="s">
        <v>19</v>
      </c>
      <c r="J55" t="s">
        <v>19</v>
      </c>
      <c r="K55" s="2">
        <v>30.71</v>
      </c>
      <c r="L55" s="2">
        <v>0</v>
      </c>
      <c r="M55" s="2">
        <v>-30.71</v>
      </c>
      <c r="N55" t="s">
        <v>20</v>
      </c>
    </row>
    <row r="56" spans="1:14">
      <c r="A56" t="s">
        <v>89</v>
      </c>
      <c r="B56" s="18">
        <v>46117</v>
      </c>
      <c r="C56" t="s">
        <v>22</v>
      </c>
      <c r="D56" t="s">
        <v>41</v>
      </c>
      <c r="E56" t="s">
        <v>24</v>
      </c>
      <c r="F56" t="s">
        <v>37</v>
      </c>
      <c r="G56" t="s">
        <v>26</v>
      </c>
      <c r="H56" t="s">
        <v>19</v>
      </c>
      <c r="I56" t="s">
        <v>19</v>
      </c>
      <c r="J56" t="s">
        <v>19</v>
      </c>
      <c r="K56" s="2">
        <v>34.200000000000003</v>
      </c>
      <c r="L56" s="2">
        <v>0</v>
      </c>
      <c r="M56" s="2">
        <v>-34.200000000000003</v>
      </c>
      <c r="N56" t="s">
        <v>27</v>
      </c>
    </row>
    <row r="57" spans="1:14">
      <c r="A57" t="s">
        <v>90</v>
      </c>
      <c r="B57" s="18">
        <v>46153</v>
      </c>
      <c r="C57" t="s">
        <v>36</v>
      </c>
      <c r="D57" t="s">
        <v>23</v>
      </c>
      <c r="E57" t="s">
        <v>31</v>
      </c>
      <c r="F57" t="s">
        <v>37</v>
      </c>
      <c r="G57" t="s">
        <v>19</v>
      </c>
      <c r="H57" t="s">
        <v>19</v>
      </c>
      <c r="I57" t="s">
        <v>19</v>
      </c>
      <c r="J57" t="s">
        <v>19</v>
      </c>
      <c r="K57" s="2">
        <v>16.27</v>
      </c>
      <c r="L57" s="2">
        <v>0</v>
      </c>
      <c r="M57" s="2">
        <v>-16.27</v>
      </c>
      <c r="N57" t="s">
        <v>20</v>
      </c>
    </row>
    <row r="58" spans="1:14">
      <c r="A58" t="s">
        <v>91</v>
      </c>
      <c r="B58" s="18">
        <v>46123</v>
      </c>
      <c r="C58" t="s">
        <v>29</v>
      </c>
      <c r="D58" t="s">
        <v>30</v>
      </c>
      <c r="E58" t="s">
        <v>31</v>
      </c>
      <c r="F58" t="s">
        <v>37</v>
      </c>
      <c r="G58" t="s">
        <v>26</v>
      </c>
      <c r="H58" t="s">
        <v>19</v>
      </c>
      <c r="I58" t="s">
        <v>19</v>
      </c>
      <c r="J58" t="s">
        <v>19</v>
      </c>
      <c r="K58" s="2">
        <v>11.56</v>
      </c>
      <c r="L58" s="2">
        <v>0</v>
      </c>
      <c r="M58" s="2">
        <v>-11.56</v>
      </c>
      <c r="N58" t="s">
        <v>27</v>
      </c>
    </row>
    <row r="59" spans="1:14">
      <c r="A59" t="s">
        <v>92</v>
      </c>
      <c r="B59" s="18">
        <v>46128</v>
      </c>
      <c r="C59" t="s">
        <v>36</v>
      </c>
      <c r="D59" t="s">
        <v>23</v>
      </c>
      <c r="E59" t="s">
        <v>42</v>
      </c>
      <c r="F59" t="s">
        <v>34</v>
      </c>
      <c r="G59" t="s">
        <v>26</v>
      </c>
      <c r="H59" t="s">
        <v>26</v>
      </c>
      <c r="I59" t="s">
        <v>26</v>
      </c>
      <c r="J59" t="s">
        <v>26</v>
      </c>
      <c r="K59" s="2">
        <v>60.83</v>
      </c>
      <c r="L59" s="2">
        <v>1855.39</v>
      </c>
      <c r="M59" s="2">
        <v>1794.56</v>
      </c>
      <c r="N59" t="s">
        <v>38</v>
      </c>
    </row>
    <row r="60" spans="1:14">
      <c r="A60" t="s">
        <v>93</v>
      </c>
      <c r="B60" s="18">
        <v>46123</v>
      </c>
      <c r="C60" t="s">
        <v>29</v>
      </c>
      <c r="D60" t="s">
        <v>30</v>
      </c>
      <c r="E60" t="s">
        <v>17</v>
      </c>
      <c r="F60" t="s">
        <v>34</v>
      </c>
      <c r="G60" t="s">
        <v>19</v>
      </c>
      <c r="H60" t="s">
        <v>19</v>
      </c>
      <c r="I60" t="s">
        <v>19</v>
      </c>
      <c r="J60" t="s">
        <v>19</v>
      </c>
      <c r="K60" s="2">
        <v>27.19</v>
      </c>
      <c r="L60" s="2">
        <v>0</v>
      </c>
      <c r="M60" s="2">
        <v>-27.19</v>
      </c>
      <c r="N60" t="s">
        <v>20</v>
      </c>
    </row>
    <row r="61" spans="1:14">
      <c r="A61" t="s">
        <v>94</v>
      </c>
      <c r="B61" s="18">
        <v>46132</v>
      </c>
      <c r="C61" t="s">
        <v>15</v>
      </c>
      <c r="D61" t="s">
        <v>41</v>
      </c>
      <c r="E61" t="s">
        <v>17</v>
      </c>
      <c r="F61" t="s">
        <v>25</v>
      </c>
      <c r="G61" t="s">
        <v>19</v>
      </c>
      <c r="H61" t="s">
        <v>19</v>
      </c>
      <c r="I61" t="s">
        <v>19</v>
      </c>
      <c r="J61" t="s">
        <v>19</v>
      </c>
      <c r="K61" s="2">
        <v>34.049999999999997</v>
      </c>
      <c r="L61" s="2">
        <v>0</v>
      </c>
      <c r="M61" s="2">
        <v>-34.049999999999997</v>
      </c>
      <c r="N61" t="s">
        <v>20</v>
      </c>
    </row>
    <row r="62" spans="1:14">
      <c r="A62" t="s">
        <v>95</v>
      </c>
      <c r="B62" s="18">
        <v>46144</v>
      </c>
      <c r="C62" t="s">
        <v>36</v>
      </c>
      <c r="D62" t="s">
        <v>30</v>
      </c>
      <c r="E62" t="s">
        <v>31</v>
      </c>
      <c r="F62" t="s">
        <v>37</v>
      </c>
      <c r="G62" t="s">
        <v>19</v>
      </c>
      <c r="H62" t="s">
        <v>19</v>
      </c>
      <c r="I62" t="s">
        <v>19</v>
      </c>
      <c r="J62" t="s">
        <v>19</v>
      </c>
      <c r="K62" s="2">
        <v>9.01</v>
      </c>
      <c r="L62" s="2">
        <v>0</v>
      </c>
      <c r="M62" s="2">
        <v>-9.01</v>
      </c>
      <c r="N62" t="s">
        <v>20</v>
      </c>
    </row>
    <row r="63" spans="1:14">
      <c r="A63" t="s">
        <v>96</v>
      </c>
      <c r="B63" s="18">
        <v>46133</v>
      </c>
      <c r="C63" t="s">
        <v>36</v>
      </c>
      <c r="D63" t="s">
        <v>16</v>
      </c>
      <c r="E63" t="s">
        <v>17</v>
      </c>
      <c r="F63" t="s">
        <v>18</v>
      </c>
      <c r="G63" t="s">
        <v>26</v>
      </c>
      <c r="H63" t="s">
        <v>26</v>
      </c>
      <c r="I63" t="s">
        <v>19</v>
      </c>
      <c r="J63" t="s">
        <v>19</v>
      </c>
      <c r="K63" s="2">
        <v>32.270000000000003</v>
      </c>
      <c r="L63" s="2">
        <v>0</v>
      </c>
      <c r="M63" s="2">
        <v>-32.270000000000003</v>
      </c>
      <c r="N63" t="s">
        <v>222</v>
      </c>
    </row>
    <row r="64" spans="1:14">
      <c r="A64" t="s">
        <v>97</v>
      </c>
      <c r="B64" s="18">
        <v>46145</v>
      </c>
      <c r="C64" t="s">
        <v>29</v>
      </c>
      <c r="D64" t="s">
        <v>16</v>
      </c>
      <c r="E64" t="s">
        <v>31</v>
      </c>
      <c r="F64" t="s">
        <v>25</v>
      </c>
      <c r="G64" t="s">
        <v>26</v>
      </c>
      <c r="H64" t="s">
        <v>19</v>
      </c>
      <c r="I64" t="s">
        <v>19</v>
      </c>
      <c r="J64" t="s">
        <v>19</v>
      </c>
      <c r="K64" s="2">
        <v>15.61</v>
      </c>
      <c r="L64" s="2">
        <v>0</v>
      </c>
      <c r="M64" s="2">
        <v>-15.61</v>
      </c>
      <c r="N64" t="s">
        <v>27</v>
      </c>
    </row>
    <row r="65" spans="1:14">
      <c r="A65" t="s">
        <v>98</v>
      </c>
      <c r="B65" s="18">
        <v>46113</v>
      </c>
      <c r="C65" t="s">
        <v>36</v>
      </c>
      <c r="D65" t="s">
        <v>16</v>
      </c>
      <c r="E65" t="s">
        <v>42</v>
      </c>
      <c r="F65" t="s">
        <v>18</v>
      </c>
      <c r="G65" t="s">
        <v>26</v>
      </c>
      <c r="H65" t="s">
        <v>19</v>
      </c>
      <c r="I65" t="s">
        <v>19</v>
      </c>
      <c r="J65" t="s">
        <v>19</v>
      </c>
      <c r="K65" s="2">
        <v>59.09</v>
      </c>
      <c r="L65" s="2">
        <v>0</v>
      </c>
      <c r="M65" s="2">
        <v>-59.09</v>
      </c>
      <c r="N65" t="s">
        <v>27</v>
      </c>
    </row>
    <row r="66" spans="1:14">
      <c r="A66" t="s">
        <v>99</v>
      </c>
      <c r="B66" s="18">
        <v>46115</v>
      </c>
      <c r="C66" t="s">
        <v>15</v>
      </c>
      <c r="D66" t="s">
        <v>30</v>
      </c>
      <c r="E66" t="s">
        <v>31</v>
      </c>
      <c r="F66" t="s">
        <v>37</v>
      </c>
      <c r="G66" t="s">
        <v>19</v>
      </c>
      <c r="H66" t="s">
        <v>19</v>
      </c>
      <c r="I66" t="s">
        <v>19</v>
      </c>
      <c r="J66" t="s">
        <v>19</v>
      </c>
      <c r="K66" s="2">
        <v>19.079999999999998</v>
      </c>
      <c r="L66" s="2">
        <v>0</v>
      </c>
      <c r="M66" s="2">
        <v>-19.079999999999998</v>
      </c>
      <c r="N66" t="s">
        <v>20</v>
      </c>
    </row>
    <row r="67" spans="1:14">
      <c r="A67" t="s">
        <v>100</v>
      </c>
      <c r="B67" s="18">
        <v>46114</v>
      </c>
      <c r="C67" t="s">
        <v>15</v>
      </c>
      <c r="D67" t="s">
        <v>16</v>
      </c>
      <c r="E67" t="s">
        <v>17</v>
      </c>
      <c r="F67" t="s">
        <v>25</v>
      </c>
      <c r="G67" t="s">
        <v>26</v>
      </c>
      <c r="H67" t="s">
        <v>19</v>
      </c>
      <c r="I67" t="s">
        <v>19</v>
      </c>
      <c r="J67" t="s">
        <v>19</v>
      </c>
      <c r="K67" s="2">
        <v>17.350000000000001</v>
      </c>
      <c r="L67" s="2">
        <v>0</v>
      </c>
      <c r="M67" s="2">
        <v>-17.350000000000001</v>
      </c>
      <c r="N67" t="s">
        <v>27</v>
      </c>
    </row>
    <row r="68" spans="1:14">
      <c r="A68" t="s">
        <v>101</v>
      </c>
      <c r="B68" s="18">
        <v>46143</v>
      </c>
      <c r="C68" t="s">
        <v>15</v>
      </c>
      <c r="D68" t="s">
        <v>16</v>
      </c>
      <c r="E68" t="s">
        <v>24</v>
      </c>
      <c r="F68" t="s">
        <v>18</v>
      </c>
      <c r="G68" t="s">
        <v>26</v>
      </c>
      <c r="H68" t="s">
        <v>26</v>
      </c>
      <c r="I68" t="s">
        <v>26</v>
      </c>
      <c r="J68" t="s">
        <v>26</v>
      </c>
      <c r="K68" s="2">
        <v>33.85</v>
      </c>
      <c r="L68" s="2">
        <v>483.71</v>
      </c>
      <c r="M68" s="2">
        <v>449.86</v>
      </c>
      <c r="N68" t="s">
        <v>38</v>
      </c>
    </row>
    <row r="69" spans="1:14">
      <c r="A69" t="s">
        <v>102</v>
      </c>
      <c r="B69" s="18">
        <v>46151</v>
      </c>
      <c r="C69" t="s">
        <v>22</v>
      </c>
      <c r="D69" t="s">
        <v>30</v>
      </c>
      <c r="E69" t="s">
        <v>42</v>
      </c>
      <c r="F69" t="s">
        <v>34</v>
      </c>
      <c r="G69" t="s">
        <v>19</v>
      </c>
      <c r="H69" t="s">
        <v>19</v>
      </c>
      <c r="I69" t="s">
        <v>19</v>
      </c>
      <c r="J69" t="s">
        <v>19</v>
      </c>
      <c r="K69" s="2">
        <v>45.87</v>
      </c>
      <c r="L69" s="2">
        <v>0</v>
      </c>
      <c r="M69" s="2">
        <v>-45.87</v>
      </c>
      <c r="N69" t="s">
        <v>20</v>
      </c>
    </row>
    <row r="70" spans="1:14">
      <c r="A70" t="s">
        <v>103</v>
      </c>
      <c r="B70" s="18">
        <v>46136</v>
      </c>
      <c r="C70" t="s">
        <v>29</v>
      </c>
      <c r="D70" t="s">
        <v>16</v>
      </c>
      <c r="E70" t="s">
        <v>17</v>
      </c>
      <c r="F70" t="s">
        <v>25</v>
      </c>
      <c r="G70" t="s">
        <v>19</v>
      </c>
      <c r="H70" t="s">
        <v>19</v>
      </c>
      <c r="I70" t="s">
        <v>19</v>
      </c>
      <c r="J70" t="s">
        <v>19</v>
      </c>
      <c r="K70" s="2">
        <v>35.630000000000003</v>
      </c>
      <c r="L70" s="2">
        <v>0</v>
      </c>
      <c r="M70" s="2">
        <v>-35.630000000000003</v>
      </c>
      <c r="N70" t="s">
        <v>20</v>
      </c>
    </row>
    <row r="71" spans="1:14">
      <c r="A71" t="s">
        <v>104</v>
      </c>
      <c r="B71" s="18">
        <v>46141</v>
      </c>
      <c r="C71" t="s">
        <v>36</v>
      </c>
      <c r="D71" t="s">
        <v>16</v>
      </c>
      <c r="E71" t="s">
        <v>17</v>
      </c>
      <c r="F71" t="s">
        <v>18</v>
      </c>
      <c r="G71" t="s">
        <v>19</v>
      </c>
      <c r="H71" t="s">
        <v>19</v>
      </c>
      <c r="I71" t="s">
        <v>19</v>
      </c>
      <c r="J71" t="s">
        <v>19</v>
      </c>
      <c r="K71" s="2">
        <v>36.04</v>
      </c>
      <c r="L71" s="2">
        <v>0</v>
      </c>
      <c r="M71" s="2">
        <v>-36.04</v>
      </c>
      <c r="N71" t="s">
        <v>20</v>
      </c>
    </row>
    <row r="72" spans="1:14">
      <c r="A72" t="s">
        <v>105</v>
      </c>
      <c r="B72" s="18">
        <v>46151</v>
      </c>
      <c r="C72" t="s">
        <v>15</v>
      </c>
      <c r="D72" t="s">
        <v>30</v>
      </c>
      <c r="E72" t="s">
        <v>31</v>
      </c>
      <c r="F72" t="s">
        <v>25</v>
      </c>
      <c r="G72" t="s">
        <v>26</v>
      </c>
      <c r="H72" t="s">
        <v>26</v>
      </c>
      <c r="I72" t="s">
        <v>19</v>
      </c>
      <c r="J72" t="s">
        <v>26</v>
      </c>
      <c r="K72" s="2">
        <v>13.45</v>
      </c>
      <c r="L72" s="2">
        <v>258.89999999999998</v>
      </c>
      <c r="M72" s="2">
        <v>245.45</v>
      </c>
      <c r="N72" t="s">
        <v>38</v>
      </c>
    </row>
    <row r="73" spans="1:14">
      <c r="A73" t="s">
        <v>106</v>
      </c>
      <c r="B73" s="18">
        <v>46140</v>
      </c>
      <c r="C73" t="s">
        <v>15</v>
      </c>
      <c r="D73" t="s">
        <v>41</v>
      </c>
      <c r="E73" t="s">
        <v>17</v>
      </c>
      <c r="F73" t="s">
        <v>37</v>
      </c>
      <c r="G73" t="s">
        <v>19</v>
      </c>
      <c r="H73" t="s">
        <v>19</v>
      </c>
      <c r="I73" t="s">
        <v>19</v>
      </c>
      <c r="J73" t="s">
        <v>19</v>
      </c>
      <c r="K73" s="2">
        <v>35.270000000000003</v>
      </c>
      <c r="L73" s="2">
        <v>0</v>
      </c>
      <c r="M73" s="2">
        <v>-35.270000000000003</v>
      </c>
      <c r="N73" t="s">
        <v>20</v>
      </c>
    </row>
    <row r="74" spans="1:14">
      <c r="A74" t="s">
        <v>107</v>
      </c>
      <c r="B74" s="18">
        <v>46120</v>
      </c>
      <c r="C74" t="s">
        <v>22</v>
      </c>
      <c r="D74" t="s">
        <v>16</v>
      </c>
      <c r="E74" t="s">
        <v>24</v>
      </c>
      <c r="F74" t="s">
        <v>34</v>
      </c>
      <c r="G74" t="s">
        <v>19</v>
      </c>
      <c r="H74" t="s">
        <v>19</v>
      </c>
      <c r="I74" t="s">
        <v>19</v>
      </c>
      <c r="J74" t="s">
        <v>19</v>
      </c>
      <c r="K74" s="2">
        <v>21.03</v>
      </c>
      <c r="L74" s="2">
        <v>0</v>
      </c>
      <c r="M74" s="2">
        <v>-21.03</v>
      </c>
      <c r="N74" t="s">
        <v>20</v>
      </c>
    </row>
    <row r="75" spans="1:14">
      <c r="A75" t="s">
        <v>108</v>
      </c>
      <c r="B75" s="18">
        <v>46129</v>
      </c>
      <c r="C75" t="s">
        <v>29</v>
      </c>
      <c r="D75" t="s">
        <v>41</v>
      </c>
      <c r="E75" t="s">
        <v>31</v>
      </c>
      <c r="F75" t="s">
        <v>34</v>
      </c>
      <c r="G75" t="s">
        <v>19</v>
      </c>
      <c r="H75" t="s">
        <v>19</v>
      </c>
      <c r="I75" t="s">
        <v>19</v>
      </c>
      <c r="J75" t="s">
        <v>19</v>
      </c>
      <c r="K75" s="2">
        <v>15.28</v>
      </c>
      <c r="L75" s="2">
        <v>0</v>
      </c>
      <c r="M75" s="2">
        <v>-15.28</v>
      </c>
      <c r="N75" t="s">
        <v>20</v>
      </c>
    </row>
    <row r="76" spans="1:14">
      <c r="A76" t="s">
        <v>109</v>
      </c>
      <c r="B76" s="18">
        <v>46145</v>
      </c>
      <c r="C76" t="s">
        <v>22</v>
      </c>
      <c r="D76" t="s">
        <v>30</v>
      </c>
      <c r="E76" t="s">
        <v>31</v>
      </c>
      <c r="F76" t="s">
        <v>37</v>
      </c>
      <c r="G76" t="s">
        <v>19</v>
      </c>
      <c r="H76" t="s">
        <v>19</v>
      </c>
      <c r="I76" t="s">
        <v>19</v>
      </c>
      <c r="J76" t="s">
        <v>19</v>
      </c>
      <c r="K76" s="2">
        <v>16.690000000000001</v>
      </c>
      <c r="L76" s="2">
        <v>0</v>
      </c>
      <c r="M76" s="2">
        <v>-16.690000000000001</v>
      </c>
      <c r="N76" t="s">
        <v>20</v>
      </c>
    </row>
    <row r="77" spans="1:14">
      <c r="A77" t="s">
        <v>110</v>
      </c>
      <c r="B77" s="18">
        <v>46113</v>
      </c>
      <c r="C77" t="s">
        <v>29</v>
      </c>
      <c r="D77" t="s">
        <v>16</v>
      </c>
      <c r="E77" t="s">
        <v>24</v>
      </c>
      <c r="F77" t="s">
        <v>25</v>
      </c>
      <c r="G77" t="s">
        <v>26</v>
      </c>
      <c r="H77" t="s">
        <v>19</v>
      </c>
      <c r="I77" t="s">
        <v>19</v>
      </c>
      <c r="J77" t="s">
        <v>19</v>
      </c>
      <c r="K77" s="2">
        <v>24.12</v>
      </c>
      <c r="L77" s="2">
        <v>0</v>
      </c>
      <c r="M77" s="2">
        <v>-24.12</v>
      </c>
      <c r="N77" t="s">
        <v>27</v>
      </c>
    </row>
    <row r="78" spans="1:14">
      <c r="A78" t="s">
        <v>111</v>
      </c>
      <c r="B78" s="18">
        <v>46137</v>
      </c>
      <c r="C78" t="s">
        <v>15</v>
      </c>
      <c r="D78" t="s">
        <v>23</v>
      </c>
      <c r="E78" t="s">
        <v>24</v>
      </c>
      <c r="F78" t="s">
        <v>25</v>
      </c>
      <c r="G78" t="s">
        <v>26</v>
      </c>
      <c r="H78" t="s">
        <v>19</v>
      </c>
      <c r="I78" t="s">
        <v>19</v>
      </c>
      <c r="J78" t="s">
        <v>19</v>
      </c>
      <c r="K78" s="2">
        <v>27.44</v>
      </c>
      <c r="L78" s="2">
        <v>0</v>
      </c>
      <c r="M78" s="2">
        <v>-27.44</v>
      </c>
      <c r="N78" t="s">
        <v>27</v>
      </c>
    </row>
    <row r="79" spans="1:14">
      <c r="A79" t="s">
        <v>112</v>
      </c>
      <c r="B79" s="18">
        <v>46114</v>
      </c>
      <c r="C79" t="s">
        <v>29</v>
      </c>
      <c r="D79" t="s">
        <v>16</v>
      </c>
      <c r="E79" t="s">
        <v>42</v>
      </c>
      <c r="F79" t="s">
        <v>18</v>
      </c>
      <c r="G79" t="s">
        <v>26</v>
      </c>
      <c r="H79" t="s">
        <v>19</v>
      </c>
      <c r="I79" t="s">
        <v>19</v>
      </c>
      <c r="J79" t="s">
        <v>19</v>
      </c>
      <c r="K79" s="2">
        <v>71.13</v>
      </c>
      <c r="L79" s="2">
        <v>0</v>
      </c>
      <c r="M79" s="2">
        <v>-71.13</v>
      </c>
      <c r="N79" t="s">
        <v>27</v>
      </c>
    </row>
    <row r="80" spans="1:14">
      <c r="A80" t="s">
        <v>113</v>
      </c>
      <c r="B80" s="18">
        <v>46152</v>
      </c>
      <c r="C80" t="s">
        <v>22</v>
      </c>
      <c r="D80" t="s">
        <v>41</v>
      </c>
      <c r="E80" t="s">
        <v>31</v>
      </c>
      <c r="F80" t="s">
        <v>25</v>
      </c>
      <c r="G80" t="s">
        <v>19</v>
      </c>
      <c r="H80" t="s">
        <v>19</v>
      </c>
      <c r="I80" t="s">
        <v>19</v>
      </c>
      <c r="J80" t="s">
        <v>19</v>
      </c>
      <c r="K80" s="2">
        <v>13.66</v>
      </c>
      <c r="L80" s="2">
        <v>0</v>
      </c>
      <c r="M80" s="2">
        <v>-13.66</v>
      </c>
      <c r="N80" t="s">
        <v>20</v>
      </c>
    </row>
    <row r="81" spans="1:14">
      <c r="A81" t="s">
        <v>114</v>
      </c>
      <c r="B81" s="18">
        <v>46124</v>
      </c>
      <c r="C81" t="s">
        <v>22</v>
      </c>
      <c r="D81" t="s">
        <v>30</v>
      </c>
      <c r="E81" t="s">
        <v>31</v>
      </c>
      <c r="F81" t="s">
        <v>37</v>
      </c>
      <c r="G81" t="s">
        <v>26</v>
      </c>
      <c r="H81" t="s">
        <v>19</v>
      </c>
      <c r="I81" t="s">
        <v>19</v>
      </c>
      <c r="J81" t="s">
        <v>19</v>
      </c>
      <c r="K81" s="2">
        <v>15.36</v>
      </c>
      <c r="L81" s="2">
        <v>0</v>
      </c>
      <c r="M81" s="2">
        <v>-15.36</v>
      </c>
      <c r="N81" t="s">
        <v>27</v>
      </c>
    </row>
    <row r="82" spans="1:14">
      <c r="A82" t="s">
        <v>115</v>
      </c>
      <c r="B82" s="18">
        <v>46119</v>
      </c>
      <c r="C82" t="s">
        <v>36</v>
      </c>
      <c r="D82" t="s">
        <v>41</v>
      </c>
      <c r="E82" t="s">
        <v>24</v>
      </c>
      <c r="F82" t="s">
        <v>25</v>
      </c>
      <c r="G82" t="s">
        <v>19</v>
      </c>
      <c r="H82" t="s">
        <v>19</v>
      </c>
      <c r="I82" t="s">
        <v>19</v>
      </c>
      <c r="J82" t="s">
        <v>19</v>
      </c>
      <c r="K82" s="2">
        <v>24.46</v>
      </c>
      <c r="L82" s="2">
        <v>0</v>
      </c>
      <c r="M82" s="2">
        <v>-24.46</v>
      </c>
      <c r="N82" t="s">
        <v>20</v>
      </c>
    </row>
    <row r="83" spans="1:14">
      <c r="A83" t="s">
        <v>116</v>
      </c>
      <c r="B83" s="18">
        <v>46147</v>
      </c>
      <c r="C83" t="s">
        <v>29</v>
      </c>
      <c r="D83" t="s">
        <v>30</v>
      </c>
      <c r="E83" t="s">
        <v>24</v>
      </c>
      <c r="F83" t="s">
        <v>25</v>
      </c>
      <c r="G83" t="s">
        <v>26</v>
      </c>
      <c r="H83" t="s">
        <v>19</v>
      </c>
      <c r="I83" t="s">
        <v>19</v>
      </c>
      <c r="J83" t="s">
        <v>19</v>
      </c>
      <c r="K83" s="2">
        <v>27.87</v>
      </c>
      <c r="L83" s="2">
        <v>0</v>
      </c>
      <c r="M83" s="2">
        <v>-27.87</v>
      </c>
      <c r="N83" t="s">
        <v>27</v>
      </c>
    </row>
    <row r="84" spans="1:14">
      <c r="A84" t="s">
        <v>117</v>
      </c>
      <c r="B84" s="18">
        <v>46122</v>
      </c>
      <c r="C84" t="s">
        <v>36</v>
      </c>
      <c r="D84" t="s">
        <v>16</v>
      </c>
      <c r="E84" t="s">
        <v>42</v>
      </c>
      <c r="F84" t="s">
        <v>25</v>
      </c>
      <c r="G84" t="s">
        <v>26</v>
      </c>
      <c r="H84" t="s">
        <v>19</v>
      </c>
      <c r="I84" t="s">
        <v>19</v>
      </c>
      <c r="J84" t="s">
        <v>19</v>
      </c>
      <c r="K84" s="2">
        <v>64.75</v>
      </c>
      <c r="L84" s="2">
        <v>0</v>
      </c>
      <c r="M84" s="2">
        <v>-64.75</v>
      </c>
      <c r="N84" t="s">
        <v>27</v>
      </c>
    </row>
    <row r="85" spans="1:14">
      <c r="A85" t="s">
        <v>118</v>
      </c>
      <c r="B85" s="18">
        <v>46156</v>
      </c>
      <c r="C85" t="s">
        <v>15</v>
      </c>
      <c r="D85" t="s">
        <v>16</v>
      </c>
      <c r="E85" t="s">
        <v>17</v>
      </c>
      <c r="F85" t="s">
        <v>25</v>
      </c>
      <c r="G85" t="s">
        <v>26</v>
      </c>
      <c r="H85" t="s">
        <v>19</v>
      </c>
      <c r="I85" t="s">
        <v>19</v>
      </c>
      <c r="J85" t="s">
        <v>19</v>
      </c>
      <c r="K85" s="2">
        <v>29.93</v>
      </c>
      <c r="L85" s="2">
        <v>0</v>
      </c>
      <c r="M85" s="2">
        <v>-29.93</v>
      </c>
      <c r="N85" t="s">
        <v>27</v>
      </c>
    </row>
    <row r="86" spans="1:14">
      <c r="A86" t="s">
        <v>119</v>
      </c>
      <c r="B86" s="18">
        <v>46135</v>
      </c>
      <c r="C86" t="s">
        <v>22</v>
      </c>
      <c r="D86" t="s">
        <v>41</v>
      </c>
      <c r="E86" t="s">
        <v>42</v>
      </c>
      <c r="F86" t="s">
        <v>34</v>
      </c>
      <c r="G86" t="s">
        <v>26</v>
      </c>
      <c r="H86" t="s">
        <v>19</v>
      </c>
      <c r="I86" t="s">
        <v>19</v>
      </c>
      <c r="J86" t="s">
        <v>19</v>
      </c>
      <c r="K86" s="2">
        <v>53.77</v>
      </c>
      <c r="L86" s="2">
        <v>0</v>
      </c>
      <c r="M86" s="2">
        <v>-53.77</v>
      </c>
      <c r="N86" t="s">
        <v>27</v>
      </c>
    </row>
    <row r="87" spans="1:14">
      <c r="A87" t="s">
        <v>120</v>
      </c>
      <c r="B87" s="18">
        <v>46122</v>
      </c>
      <c r="C87" t="s">
        <v>36</v>
      </c>
      <c r="D87" t="s">
        <v>41</v>
      </c>
      <c r="E87" t="s">
        <v>24</v>
      </c>
      <c r="F87" t="s">
        <v>34</v>
      </c>
      <c r="G87" t="s">
        <v>19</v>
      </c>
      <c r="H87" t="s">
        <v>19</v>
      </c>
      <c r="I87" t="s">
        <v>19</v>
      </c>
      <c r="J87" t="s">
        <v>19</v>
      </c>
      <c r="K87" s="2">
        <v>22.46</v>
      </c>
      <c r="L87" s="2">
        <v>0</v>
      </c>
      <c r="M87" s="2">
        <v>-22.46</v>
      </c>
      <c r="N87" t="s">
        <v>20</v>
      </c>
    </row>
    <row r="88" spans="1:14">
      <c r="A88" t="s">
        <v>121</v>
      </c>
      <c r="B88" s="18">
        <v>46123</v>
      </c>
      <c r="C88" t="s">
        <v>22</v>
      </c>
      <c r="D88" t="s">
        <v>16</v>
      </c>
      <c r="E88" t="s">
        <v>24</v>
      </c>
      <c r="F88" t="s">
        <v>25</v>
      </c>
      <c r="G88" t="s">
        <v>19</v>
      </c>
      <c r="H88" t="s">
        <v>19</v>
      </c>
      <c r="I88" t="s">
        <v>19</v>
      </c>
      <c r="J88" t="s">
        <v>19</v>
      </c>
      <c r="K88" s="2">
        <v>28.14</v>
      </c>
      <c r="L88" s="2">
        <v>0</v>
      </c>
      <c r="M88" s="2">
        <v>-28.14</v>
      </c>
      <c r="N88" t="s">
        <v>20</v>
      </c>
    </row>
    <row r="89" spans="1:14">
      <c r="A89" t="s">
        <v>122</v>
      </c>
      <c r="B89" s="18">
        <v>46139</v>
      </c>
      <c r="C89" t="s">
        <v>22</v>
      </c>
      <c r="D89" t="s">
        <v>23</v>
      </c>
      <c r="E89" t="s">
        <v>31</v>
      </c>
      <c r="F89" t="s">
        <v>34</v>
      </c>
      <c r="G89" t="s">
        <v>26</v>
      </c>
      <c r="H89" t="s">
        <v>19</v>
      </c>
      <c r="I89" t="s">
        <v>19</v>
      </c>
      <c r="J89" t="s">
        <v>19</v>
      </c>
      <c r="K89" s="2">
        <v>16.350000000000001</v>
      </c>
      <c r="L89" s="2">
        <v>0</v>
      </c>
      <c r="M89" s="2">
        <v>-16.350000000000001</v>
      </c>
      <c r="N89" t="s">
        <v>27</v>
      </c>
    </row>
    <row r="90" spans="1:14">
      <c r="A90" t="s">
        <v>123</v>
      </c>
      <c r="B90" s="18">
        <v>46119</v>
      </c>
      <c r="C90" t="s">
        <v>22</v>
      </c>
      <c r="D90" t="s">
        <v>23</v>
      </c>
      <c r="E90" t="s">
        <v>24</v>
      </c>
      <c r="F90" t="s">
        <v>37</v>
      </c>
      <c r="G90" t="s">
        <v>26</v>
      </c>
      <c r="H90" t="s">
        <v>19</v>
      </c>
      <c r="I90" t="s">
        <v>19</v>
      </c>
      <c r="J90" t="s">
        <v>19</v>
      </c>
      <c r="K90" s="2">
        <v>28.06</v>
      </c>
      <c r="L90" s="2">
        <v>0</v>
      </c>
      <c r="M90" s="2">
        <v>-28.06</v>
      </c>
      <c r="N90" t="s">
        <v>27</v>
      </c>
    </row>
    <row r="91" spans="1:14">
      <c r="A91" t="s">
        <v>124</v>
      </c>
      <c r="B91" s="18">
        <v>46114</v>
      </c>
      <c r="C91" t="s">
        <v>22</v>
      </c>
      <c r="D91" t="s">
        <v>41</v>
      </c>
      <c r="E91" t="s">
        <v>42</v>
      </c>
      <c r="F91" t="s">
        <v>37</v>
      </c>
      <c r="G91" t="s">
        <v>26</v>
      </c>
      <c r="H91" t="s">
        <v>26</v>
      </c>
      <c r="I91" t="s">
        <v>19</v>
      </c>
      <c r="J91" t="s">
        <v>19</v>
      </c>
      <c r="K91" s="2">
        <v>56.35</v>
      </c>
      <c r="L91" s="2">
        <v>0</v>
      </c>
      <c r="M91" s="2">
        <v>-56.35</v>
      </c>
      <c r="N91" t="s">
        <v>222</v>
      </c>
    </row>
    <row r="92" spans="1:14">
      <c r="A92" t="s">
        <v>125</v>
      </c>
      <c r="B92" s="18">
        <v>46125</v>
      </c>
      <c r="C92" t="s">
        <v>22</v>
      </c>
      <c r="D92" t="s">
        <v>30</v>
      </c>
      <c r="E92" t="s">
        <v>24</v>
      </c>
      <c r="F92" t="s">
        <v>18</v>
      </c>
      <c r="G92" t="s">
        <v>26</v>
      </c>
      <c r="H92" t="s">
        <v>19</v>
      </c>
      <c r="I92" t="s">
        <v>19</v>
      </c>
      <c r="J92" t="s">
        <v>19</v>
      </c>
      <c r="K92" s="2">
        <v>31.63</v>
      </c>
      <c r="L92" s="2">
        <v>0</v>
      </c>
      <c r="M92" s="2">
        <v>-31.63</v>
      </c>
      <c r="N92" t="s">
        <v>27</v>
      </c>
    </row>
    <row r="93" spans="1:14">
      <c r="A93" t="s">
        <v>126</v>
      </c>
      <c r="B93" s="18">
        <v>46127</v>
      </c>
      <c r="C93" t="s">
        <v>29</v>
      </c>
      <c r="D93" t="s">
        <v>41</v>
      </c>
      <c r="E93" t="s">
        <v>17</v>
      </c>
      <c r="F93" t="s">
        <v>18</v>
      </c>
      <c r="G93" t="s">
        <v>26</v>
      </c>
      <c r="H93" t="s">
        <v>19</v>
      </c>
      <c r="I93" t="s">
        <v>19</v>
      </c>
      <c r="J93" t="s">
        <v>19</v>
      </c>
      <c r="K93" s="2">
        <v>27.56</v>
      </c>
      <c r="L93" s="2">
        <v>0</v>
      </c>
      <c r="M93" s="2">
        <v>-27.56</v>
      </c>
      <c r="N93" t="s">
        <v>27</v>
      </c>
    </row>
    <row r="94" spans="1:14">
      <c r="A94" t="s">
        <v>127</v>
      </c>
      <c r="B94" s="18">
        <v>46130</v>
      </c>
      <c r="C94" t="s">
        <v>36</v>
      </c>
      <c r="D94" t="s">
        <v>16</v>
      </c>
      <c r="E94" t="s">
        <v>31</v>
      </c>
      <c r="F94" t="s">
        <v>18</v>
      </c>
      <c r="G94" t="s">
        <v>19</v>
      </c>
      <c r="H94" t="s">
        <v>19</v>
      </c>
      <c r="I94" t="s">
        <v>19</v>
      </c>
      <c r="J94" t="s">
        <v>19</v>
      </c>
      <c r="K94" s="2">
        <v>13.05</v>
      </c>
      <c r="L94" s="2">
        <v>0</v>
      </c>
      <c r="M94" s="2">
        <v>-13.05</v>
      </c>
      <c r="N94" t="s">
        <v>20</v>
      </c>
    </row>
    <row r="95" spans="1:14">
      <c r="A95" t="s">
        <v>128</v>
      </c>
      <c r="B95" s="18">
        <v>46143</v>
      </c>
      <c r="C95" t="s">
        <v>15</v>
      </c>
      <c r="D95" t="s">
        <v>16</v>
      </c>
      <c r="E95" t="s">
        <v>42</v>
      </c>
      <c r="F95" t="s">
        <v>18</v>
      </c>
      <c r="G95" t="s">
        <v>19</v>
      </c>
      <c r="H95" t="s">
        <v>19</v>
      </c>
      <c r="I95" t="s">
        <v>19</v>
      </c>
      <c r="J95" t="s">
        <v>19</v>
      </c>
      <c r="K95" s="2">
        <v>66.42</v>
      </c>
      <c r="L95" s="2">
        <v>0</v>
      </c>
      <c r="M95" s="2">
        <v>-66.42</v>
      </c>
      <c r="N95" t="s">
        <v>20</v>
      </c>
    </row>
    <row r="96" spans="1:14">
      <c r="A96" t="s">
        <v>129</v>
      </c>
      <c r="B96" s="18">
        <v>46137</v>
      </c>
      <c r="C96" t="s">
        <v>15</v>
      </c>
      <c r="D96" t="s">
        <v>41</v>
      </c>
      <c r="E96" t="s">
        <v>31</v>
      </c>
      <c r="F96" t="s">
        <v>34</v>
      </c>
      <c r="G96" t="s">
        <v>26</v>
      </c>
      <c r="H96" t="s">
        <v>19</v>
      </c>
      <c r="I96" t="s">
        <v>19</v>
      </c>
      <c r="J96" t="s">
        <v>19</v>
      </c>
      <c r="K96" s="2">
        <v>17.309999999999999</v>
      </c>
      <c r="L96" s="2">
        <v>0</v>
      </c>
      <c r="M96" s="2">
        <v>-17.309999999999999</v>
      </c>
      <c r="N96" t="s">
        <v>27</v>
      </c>
    </row>
    <row r="97" spans="1:14">
      <c r="A97" t="s">
        <v>130</v>
      </c>
      <c r="B97" s="18">
        <v>46156</v>
      </c>
      <c r="C97" t="s">
        <v>36</v>
      </c>
      <c r="D97" t="s">
        <v>16</v>
      </c>
      <c r="E97" t="s">
        <v>17</v>
      </c>
      <c r="F97" t="s">
        <v>34</v>
      </c>
      <c r="G97" t="s">
        <v>26</v>
      </c>
      <c r="H97" t="s">
        <v>26</v>
      </c>
      <c r="I97" t="s">
        <v>19</v>
      </c>
      <c r="J97" t="s">
        <v>19</v>
      </c>
      <c r="K97" s="2">
        <v>30.79</v>
      </c>
      <c r="L97" s="2">
        <v>0</v>
      </c>
      <c r="M97" s="2">
        <v>-30.79</v>
      </c>
      <c r="N97" t="s">
        <v>222</v>
      </c>
    </row>
    <row r="98" spans="1:14">
      <c r="A98" t="s">
        <v>131</v>
      </c>
      <c r="B98" s="18">
        <v>46157</v>
      </c>
      <c r="C98" t="s">
        <v>15</v>
      </c>
      <c r="D98" t="s">
        <v>16</v>
      </c>
      <c r="E98" t="s">
        <v>17</v>
      </c>
      <c r="F98" t="s">
        <v>34</v>
      </c>
      <c r="G98" t="s">
        <v>26</v>
      </c>
      <c r="H98" t="s">
        <v>26</v>
      </c>
      <c r="I98" t="s">
        <v>19</v>
      </c>
      <c r="J98" t="s">
        <v>19</v>
      </c>
      <c r="K98" s="2">
        <v>34.89</v>
      </c>
      <c r="L98" s="2">
        <v>0</v>
      </c>
      <c r="M98" s="2">
        <v>-34.89</v>
      </c>
      <c r="N98" t="s">
        <v>222</v>
      </c>
    </row>
    <row r="99" spans="1:14">
      <c r="A99" t="s">
        <v>132</v>
      </c>
      <c r="B99" s="18">
        <v>46145</v>
      </c>
      <c r="C99" t="s">
        <v>29</v>
      </c>
      <c r="D99" t="s">
        <v>41</v>
      </c>
      <c r="E99" t="s">
        <v>24</v>
      </c>
      <c r="F99" t="s">
        <v>18</v>
      </c>
      <c r="G99" t="s">
        <v>19</v>
      </c>
      <c r="H99" t="s">
        <v>19</v>
      </c>
      <c r="I99" t="s">
        <v>19</v>
      </c>
      <c r="J99" t="s">
        <v>19</v>
      </c>
      <c r="K99" s="2">
        <v>19.96</v>
      </c>
      <c r="L99" s="2">
        <v>0</v>
      </c>
      <c r="M99" s="2">
        <v>-19.96</v>
      </c>
      <c r="N99" t="s">
        <v>20</v>
      </c>
    </row>
    <row r="100" spans="1:14">
      <c r="A100" t="s">
        <v>133</v>
      </c>
      <c r="B100" s="18">
        <v>46135</v>
      </c>
      <c r="C100" t="s">
        <v>22</v>
      </c>
      <c r="D100" t="s">
        <v>41</v>
      </c>
      <c r="E100" t="s">
        <v>17</v>
      </c>
      <c r="F100" t="s">
        <v>37</v>
      </c>
      <c r="G100" t="s">
        <v>19</v>
      </c>
      <c r="H100" t="s">
        <v>19</v>
      </c>
      <c r="I100" t="s">
        <v>19</v>
      </c>
      <c r="J100" t="s">
        <v>19</v>
      </c>
      <c r="K100" s="2">
        <v>35.74</v>
      </c>
      <c r="L100" s="2">
        <v>0</v>
      </c>
      <c r="M100" s="2">
        <v>-35.74</v>
      </c>
      <c r="N100" t="s">
        <v>20</v>
      </c>
    </row>
    <row r="101" spans="1:14">
      <c r="A101" t="s">
        <v>134</v>
      </c>
      <c r="B101" s="18">
        <v>46131</v>
      </c>
      <c r="C101" t="s">
        <v>36</v>
      </c>
      <c r="D101" t="s">
        <v>16</v>
      </c>
      <c r="E101" t="s">
        <v>24</v>
      </c>
      <c r="F101" t="s">
        <v>34</v>
      </c>
      <c r="G101" t="s">
        <v>26</v>
      </c>
      <c r="H101" t="s">
        <v>26</v>
      </c>
      <c r="I101" t="s">
        <v>19</v>
      </c>
      <c r="J101" t="s">
        <v>26</v>
      </c>
      <c r="K101" s="2">
        <v>28.73</v>
      </c>
      <c r="L101" s="2">
        <v>877.16</v>
      </c>
      <c r="M101" s="2">
        <v>848.43</v>
      </c>
      <c r="N101" t="s">
        <v>38</v>
      </c>
    </row>
    <row r="102" spans="1:14">
      <c r="A102" t="s">
        <v>135</v>
      </c>
      <c r="B102" s="18">
        <v>46121</v>
      </c>
      <c r="C102" t="s">
        <v>22</v>
      </c>
      <c r="D102" t="s">
        <v>16</v>
      </c>
      <c r="E102" t="s">
        <v>31</v>
      </c>
      <c r="F102" t="s">
        <v>34</v>
      </c>
      <c r="G102" t="s">
        <v>19</v>
      </c>
      <c r="H102" t="s">
        <v>19</v>
      </c>
      <c r="I102" t="s">
        <v>19</v>
      </c>
      <c r="J102" t="s">
        <v>19</v>
      </c>
      <c r="K102" s="2">
        <v>15.6</v>
      </c>
      <c r="L102" s="2">
        <v>0</v>
      </c>
      <c r="M102" s="2">
        <v>-15.6</v>
      </c>
      <c r="N102" t="s">
        <v>20</v>
      </c>
    </row>
    <row r="103" spans="1:14">
      <c r="A103" t="s">
        <v>136</v>
      </c>
      <c r="B103" s="18">
        <v>46153</v>
      </c>
      <c r="C103" t="s">
        <v>15</v>
      </c>
      <c r="D103" t="s">
        <v>41</v>
      </c>
      <c r="E103" t="s">
        <v>31</v>
      </c>
      <c r="F103" t="s">
        <v>25</v>
      </c>
      <c r="G103" t="s">
        <v>19</v>
      </c>
      <c r="H103" t="s">
        <v>19</v>
      </c>
      <c r="I103" t="s">
        <v>19</v>
      </c>
      <c r="J103" t="s">
        <v>19</v>
      </c>
      <c r="K103" s="2">
        <v>10.85</v>
      </c>
      <c r="L103" s="2">
        <v>0</v>
      </c>
      <c r="M103" s="2">
        <v>-10.85</v>
      </c>
      <c r="N103" t="s">
        <v>20</v>
      </c>
    </row>
    <row r="104" spans="1:14">
      <c r="A104" t="s">
        <v>137</v>
      </c>
      <c r="B104" s="18">
        <v>46126</v>
      </c>
      <c r="C104" t="s">
        <v>15</v>
      </c>
      <c r="D104" t="s">
        <v>30</v>
      </c>
      <c r="E104" t="s">
        <v>17</v>
      </c>
      <c r="F104" t="s">
        <v>18</v>
      </c>
      <c r="G104" t="s">
        <v>19</v>
      </c>
      <c r="H104" t="s">
        <v>19</v>
      </c>
      <c r="I104" t="s">
        <v>19</v>
      </c>
      <c r="J104" t="s">
        <v>19</v>
      </c>
      <c r="K104" s="2">
        <v>31.73</v>
      </c>
      <c r="L104" s="2">
        <v>0</v>
      </c>
      <c r="M104" s="2">
        <v>-31.73</v>
      </c>
      <c r="N104" t="s">
        <v>20</v>
      </c>
    </row>
    <row r="105" spans="1:14">
      <c r="A105" t="s">
        <v>138</v>
      </c>
      <c r="B105" s="18">
        <v>46113</v>
      </c>
      <c r="C105" t="s">
        <v>22</v>
      </c>
      <c r="D105" t="s">
        <v>30</v>
      </c>
      <c r="E105" t="s">
        <v>17</v>
      </c>
      <c r="F105" t="s">
        <v>25</v>
      </c>
      <c r="G105" t="s">
        <v>26</v>
      </c>
      <c r="H105" t="s">
        <v>26</v>
      </c>
      <c r="I105" t="s">
        <v>26</v>
      </c>
      <c r="J105" t="s">
        <v>19</v>
      </c>
      <c r="K105" s="2">
        <v>37.200000000000003</v>
      </c>
      <c r="L105" s="2">
        <v>0</v>
      </c>
      <c r="M105" s="2">
        <v>-37.200000000000003</v>
      </c>
      <c r="N105" t="s">
        <v>221</v>
      </c>
    </row>
    <row r="106" spans="1:14">
      <c r="A106" t="s">
        <v>139</v>
      </c>
      <c r="B106" s="18">
        <v>46134</v>
      </c>
      <c r="C106" t="s">
        <v>15</v>
      </c>
      <c r="D106" t="s">
        <v>16</v>
      </c>
      <c r="E106" t="s">
        <v>17</v>
      </c>
      <c r="F106" t="s">
        <v>34</v>
      </c>
      <c r="G106" t="s">
        <v>26</v>
      </c>
      <c r="H106" t="s">
        <v>26</v>
      </c>
      <c r="I106" t="s">
        <v>26</v>
      </c>
      <c r="J106" t="s">
        <v>26</v>
      </c>
      <c r="K106" s="2">
        <v>34.47</v>
      </c>
      <c r="L106" s="2">
        <v>794.07</v>
      </c>
      <c r="M106" s="2">
        <v>759.6</v>
      </c>
      <c r="N106" t="s">
        <v>38</v>
      </c>
    </row>
    <row r="107" spans="1:14">
      <c r="A107" t="s">
        <v>140</v>
      </c>
      <c r="B107" s="18">
        <v>46148</v>
      </c>
      <c r="C107" t="s">
        <v>15</v>
      </c>
      <c r="D107" t="s">
        <v>41</v>
      </c>
      <c r="E107" t="s">
        <v>17</v>
      </c>
      <c r="F107" t="s">
        <v>18</v>
      </c>
      <c r="G107" t="s">
        <v>26</v>
      </c>
      <c r="H107" t="s">
        <v>19</v>
      </c>
      <c r="I107" t="s">
        <v>19</v>
      </c>
      <c r="J107" t="s">
        <v>19</v>
      </c>
      <c r="K107" s="2">
        <v>26.31</v>
      </c>
      <c r="L107" s="2">
        <v>0</v>
      </c>
      <c r="M107" s="2">
        <v>-26.31</v>
      </c>
      <c r="N107" t="s">
        <v>27</v>
      </c>
    </row>
    <row r="108" spans="1:14">
      <c r="A108" t="s">
        <v>141</v>
      </c>
      <c r="B108" s="18">
        <v>46123</v>
      </c>
      <c r="C108" t="s">
        <v>15</v>
      </c>
      <c r="D108" t="s">
        <v>30</v>
      </c>
      <c r="E108" t="s">
        <v>31</v>
      </c>
      <c r="F108" t="s">
        <v>34</v>
      </c>
      <c r="G108" t="s">
        <v>26</v>
      </c>
      <c r="H108" t="s">
        <v>19</v>
      </c>
      <c r="I108" t="s">
        <v>19</v>
      </c>
      <c r="J108" t="s">
        <v>19</v>
      </c>
      <c r="K108" s="2">
        <v>13.9</v>
      </c>
      <c r="L108" s="2">
        <v>0</v>
      </c>
      <c r="M108" s="2">
        <v>-13.9</v>
      </c>
      <c r="N108" t="s">
        <v>27</v>
      </c>
    </row>
    <row r="109" spans="1:14">
      <c r="A109" t="s">
        <v>142</v>
      </c>
      <c r="B109" s="18">
        <v>46125</v>
      </c>
      <c r="C109" t="s">
        <v>29</v>
      </c>
      <c r="D109" t="s">
        <v>16</v>
      </c>
      <c r="E109" t="s">
        <v>17</v>
      </c>
      <c r="F109" t="s">
        <v>25</v>
      </c>
      <c r="G109" t="s">
        <v>26</v>
      </c>
      <c r="H109" t="s">
        <v>26</v>
      </c>
      <c r="I109" t="s">
        <v>19</v>
      </c>
      <c r="J109" t="s">
        <v>19</v>
      </c>
      <c r="K109" s="2">
        <v>32.04</v>
      </c>
      <c r="L109" s="2">
        <v>0</v>
      </c>
      <c r="M109" s="2">
        <v>-32.04</v>
      </c>
      <c r="N109" t="s">
        <v>222</v>
      </c>
    </row>
    <row r="110" spans="1:14">
      <c r="A110" t="s">
        <v>143</v>
      </c>
      <c r="B110" s="18">
        <v>46149</v>
      </c>
      <c r="C110" t="s">
        <v>22</v>
      </c>
      <c r="D110" t="s">
        <v>41</v>
      </c>
      <c r="E110" t="s">
        <v>17</v>
      </c>
      <c r="F110" t="s">
        <v>34</v>
      </c>
      <c r="G110" t="s">
        <v>26</v>
      </c>
      <c r="H110" t="s">
        <v>19</v>
      </c>
      <c r="I110" t="s">
        <v>19</v>
      </c>
      <c r="J110" t="s">
        <v>19</v>
      </c>
      <c r="K110" s="2">
        <v>35.799999999999997</v>
      </c>
      <c r="L110" s="2">
        <v>0</v>
      </c>
      <c r="M110" s="2">
        <v>-35.799999999999997</v>
      </c>
      <c r="N110" t="s">
        <v>27</v>
      </c>
    </row>
    <row r="111" spans="1:14">
      <c r="A111" t="s">
        <v>144</v>
      </c>
      <c r="B111" s="18">
        <v>46157</v>
      </c>
      <c r="C111" t="s">
        <v>36</v>
      </c>
      <c r="D111" t="s">
        <v>30</v>
      </c>
      <c r="E111" t="s">
        <v>17</v>
      </c>
      <c r="F111" t="s">
        <v>25</v>
      </c>
      <c r="G111" t="s">
        <v>19</v>
      </c>
      <c r="H111" t="s">
        <v>19</v>
      </c>
      <c r="I111" t="s">
        <v>19</v>
      </c>
      <c r="J111" t="s">
        <v>19</v>
      </c>
      <c r="K111" s="2">
        <v>30.03</v>
      </c>
      <c r="L111" s="2">
        <v>0</v>
      </c>
      <c r="M111" s="2">
        <v>-30.03</v>
      </c>
      <c r="N111" t="s">
        <v>20</v>
      </c>
    </row>
    <row r="112" spans="1:14">
      <c r="A112" t="s">
        <v>145</v>
      </c>
      <c r="B112" s="18">
        <v>46126</v>
      </c>
      <c r="C112" t="s">
        <v>15</v>
      </c>
      <c r="D112" t="s">
        <v>41</v>
      </c>
      <c r="E112" t="s">
        <v>31</v>
      </c>
      <c r="F112" t="s">
        <v>34</v>
      </c>
      <c r="G112" t="s">
        <v>19</v>
      </c>
      <c r="H112" t="s">
        <v>19</v>
      </c>
      <c r="I112" t="s">
        <v>19</v>
      </c>
      <c r="J112" t="s">
        <v>19</v>
      </c>
      <c r="K112" s="2">
        <v>17.36</v>
      </c>
      <c r="L112" s="2">
        <v>0</v>
      </c>
      <c r="M112" s="2">
        <v>-17.36</v>
      </c>
      <c r="N112" t="s">
        <v>20</v>
      </c>
    </row>
    <row r="113" spans="1:14">
      <c r="A113" t="s">
        <v>146</v>
      </c>
      <c r="B113" s="18">
        <v>46150</v>
      </c>
      <c r="C113" t="s">
        <v>36</v>
      </c>
      <c r="D113" t="s">
        <v>16</v>
      </c>
      <c r="E113" t="s">
        <v>24</v>
      </c>
      <c r="F113" t="s">
        <v>18</v>
      </c>
      <c r="G113" t="s">
        <v>19</v>
      </c>
      <c r="H113" t="s">
        <v>19</v>
      </c>
      <c r="I113" t="s">
        <v>19</v>
      </c>
      <c r="J113" t="s">
        <v>19</v>
      </c>
      <c r="K113" s="2">
        <v>30.42</v>
      </c>
      <c r="L113" s="2">
        <v>0</v>
      </c>
      <c r="M113" s="2">
        <v>-30.42</v>
      </c>
      <c r="N113" t="s">
        <v>20</v>
      </c>
    </row>
    <row r="114" spans="1:14">
      <c r="A114" t="s">
        <v>147</v>
      </c>
      <c r="B114" s="18">
        <v>46126</v>
      </c>
      <c r="C114" t="s">
        <v>36</v>
      </c>
      <c r="D114" t="s">
        <v>30</v>
      </c>
      <c r="E114" t="s">
        <v>17</v>
      </c>
      <c r="F114" t="s">
        <v>34</v>
      </c>
      <c r="G114" t="s">
        <v>19</v>
      </c>
      <c r="H114" t="s">
        <v>19</v>
      </c>
      <c r="I114" t="s">
        <v>19</v>
      </c>
      <c r="J114" t="s">
        <v>19</v>
      </c>
      <c r="K114" s="2">
        <v>33.270000000000003</v>
      </c>
      <c r="L114" s="2">
        <v>0</v>
      </c>
      <c r="M114" s="2">
        <v>-33.270000000000003</v>
      </c>
      <c r="N114" t="s">
        <v>20</v>
      </c>
    </row>
    <row r="115" spans="1:14">
      <c r="A115" t="s">
        <v>148</v>
      </c>
      <c r="B115" s="18">
        <v>46126</v>
      </c>
      <c r="C115" t="s">
        <v>29</v>
      </c>
      <c r="D115" t="s">
        <v>16</v>
      </c>
      <c r="E115" t="s">
        <v>17</v>
      </c>
      <c r="F115" t="s">
        <v>34</v>
      </c>
      <c r="G115" t="s">
        <v>26</v>
      </c>
      <c r="H115" t="s">
        <v>19</v>
      </c>
      <c r="I115" t="s">
        <v>19</v>
      </c>
      <c r="J115" t="s">
        <v>19</v>
      </c>
      <c r="K115" s="2">
        <v>28.07</v>
      </c>
      <c r="L115" s="2">
        <v>0</v>
      </c>
      <c r="M115" s="2">
        <v>-28.07</v>
      </c>
      <c r="N115" t="s">
        <v>27</v>
      </c>
    </row>
    <row r="116" spans="1:14">
      <c r="A116" t="s">
        <v>149</v>
      </c>
      <c r="B116" s="18">
        <v>46145</v>
      </c>
      <c r="C116" t="s">
        <v>36</v>
      </c>
      <c r="D116" t="s">
        <v>41</v>
      </c>
      <c r="E116" t="s">
        <v>42</v>
      </c>
      <c r="F116" t="s">
        <v>18</v>
      </c>
      <c r="G116" t="s">
        <v>19</v>
      </c>
      <c r="H116" t="s">
        <v>19</v>
      </c>
      <c r="I116" t="s">
        <v>19</v>
      </c>
      <c r="J116" t="s">
        <v>19</v>
      </c>
      <c r="K116" s="2">
        <v>55.53</v>
      </c>
      <c r="L116" s="2">
        <v>0</v>
      </c>
      <c r="M116" s="2">
        <v>-55.53</v>
      </c>
      <c r="N116" t="s">
        <v>20</v>
      </c>
    </row>
    <row r="117" spans="1:14">
      <c r="A117" t="s">
        <v>150</v>
      </c>
      <c r="B117" s="18">
        <v>46140</v>
      </c>
      <c r="C117" t="s">
        <v>22</v>
      </c>
      <c r="D117" t="s">
        <v>16</v>
      </c>
      <c r="E117" t="s">
        <v>17</v>
      </c>
      <c r="F117" t="s">
        <v>25</v>
      </c>
      <c r="G117" t="s">
        <v>19</v>
      </c>
      <c r="H117" t="s">
        <v>19</v>
      </c>
      <c r="I117" t="s">
        <v>19</v>
      </c>
      <c r="J117" t="s">
        <v>19</v>
      </c>
      <c r="K117" s="2">
        <v>35.729999999999997</v>
      </c>
      <c r="L117" s="2">
        <v>0</v>
      </c>
      <c r="M117" s="2">
        <v>-35.729999999999997</v>
      </c>
      <c r="N117" t="s">
        <v>20</v>
      </c>
    </row>
    <row r="118" spans="1:14">
      <c r="A118" t="s">
        <v>151</v>
      </c>
      <c r="B118" s="18">
        <v>46151</v>
      </c>
      <c r="C118" t="s">
        <v>15</v>
      </c>
      <c r="D118" t="s">
        <v>30</v>
      </c>
      <c r="E118" t="s">
        <v>42</v>
      </c>
      <c r="F118" t="s">
        <v>34</v>
      </c>
      <c r="G118" t="s">
        <v>19</v>
      </c>
      <c r="H118" t="s">
        <v>19</v>
      </c>
      <c r="I118" t="s">
        <v>19</v>
      </c>
      <c r="J118" t="s">
        <v>19</v>
      </c>
      <c r="K118" s="2">
        <v>46.16</v>
      </c>
      <c r="L118" s="2">
        <v>0</v>
      </c>
      <c r="M118" s="2">
        <v>-46.16</v>
      </c>
      <c r="N118" t="s">
        <v>20</v>
      </c>
    </row>
    <row r="119" spans="1:14">
      <c r="A119" t="s">
        <v>152</v>
      </c>
      <c r="B119" s="18">
        <v>46117</v>
      </c>
      <c r="C119" t="s">
        <v>22</v>
      </c>
      <c r="D119" t="s">
        <v>23</v>
      </c>
      <c r="E119" t="s">
        <v>42</v>
      </c>
      <c r="F119" t="s">
        <v>37</v>
      </c>
      <c r="G119" t="s">
        <v>26</v>
      </c>
      <c r="H119" t="s">
        <v>19</v>
      </c>
      <c r="I119" t="s">
        <v>19</v>
      </c>
      <c r="J119" t="s">
        <v>19</v>
      </c>
      <c r="K119" s="2">
        <v>61.79</v>
      </c>
      <c r="L119" s="2">
        <v>0</v>
      </c>
      <c r="M119" s="2">
        <v>-61.79</v>
      </c>
      <c r="N119" t="s">
        <v>27</v>
      </c>
    </row>
    <row r="120" spans="1:14">
      <c r="A120" t="s">
        <v>153</v>
      </c>
      <c r="B120" s="18">
        <v>46115</v>
      </c>
      <c r="C120" t="s">
        <v>29</v>
      </c>
      <c r="D120" t="s">
        <v>30</v>
      </c>
      <c r="E120" t="s">
        <v>17</v>
      </c>
      <c r="F120" t="s">
        <v>18</v>
      </c>
      <c r="G120" t="s">
        <v>26</v>
      </c>
      <c r="H120" t="s">
        <v>26</v>
      </c>
      <c r="I120" t="s">
        <v>26</v>
      </c>
      <c r="J120" t="s">
        <v>26</v>
      </c>
      <c r="K120" s="2">
        <v>41.71</v>
      </c>
      <c r="L120" s="2">
        <v>379.16</v>
      </c>
      <c r="M120" s="2">
        <v>337.45</v>
      </c>
      <c r="N120" t="s">
        <v>38</v>
      </c>
    </row>
    <row r="121" spans="1:14">
      <c r="A121" t="s">
        <v>154</v>
      </c>
      <c r="B121" s="18">
        <v>46134</v>
      </c>
      <c r="C121" t="s">
        <v>29</v>
      </c>
      <c r="D121" t="s">
        <v>16</v>
      </c>
      <c r="E121" t="s">
        <v>31</v>
      </c>
      <c r="F121" t="s">
        <v>37</v>
      </c>
      <c r="G121" t="s">
        <v>19</v>
      </c>
      <c r="H121" t="s">
        <v>19</v>
      </c>
      <c r="I121" t="s">
        <v>19</v>
      </c>
      <c r="J121" t="s">
        <v>19</v>
      </c>
      <c r="K121" s="2">
        <v>14.19</v>
      </c>
      <c r="L121" s="2">
        <v>0</v>
      </c>
      <c r="M121" s="2">
        <v>-14.19</v>
      </c>
      <c r="N121" t="s">
        <v>20</v>
      </c>
    </row>
    <row r="122" spans="1:14">
      <c r="A122" t="s">
        <v>155</v>
      </c>
      <c r="B122" s="18">
        <v>46133</v>
      </c>
      <c r="C122" t="s">
        <v>22</v>
      </c>
      <c r="D122" t="s">
        <v>16</v>
      </c>
      <c r="E122" t="s">
        <v>17</v>
      </c>
      <c r="F122" t="s">
        <v>37</v>
      </c>
      <c r="G122" t="s">
        <v>19</v>
      </c>
      <c r="H122" t="s">
        <v>19</v>
      </c>
      <c r="I122" t="s">
        <v>19</v>
      </c>
      <c r="J122" t="s">
        <v>19</v>
      </c>
      <c r="K122" s="2">
        <v>36.869999999999997</v>
      </c>
      <c r="L122" s="2">
        <v>0</v>
      </c>
      <c r="M122" s="2">
        <v>-36.869999999999997</v>
      </c>
      <c r="N122" t="s">
        <v>20</v>
      </c>
    </row>
    <row r="123" spans="1:14">
      <c r="A123" t="s">
        <v>156</v>
      </c>
      <c r="B123" s="18">
        <v>46137</v>
      </c>
      <c r="C123" t="s">
        <v>15</v>
      </c>
      <c r="D123" t="s">
        <v>41</v>
      </c>
      <c r="E123" t="s">
        <v>31</v>
      </c>
      <c r="F123" t="s">
        <v>34</v>
      </c>
      <c r="G123" t="s">
        <v>26</v>
      </c>
      <c r="H123" t="s">
        <v>19</v>
      </c>
      <c r="I123" t="s">
        <v>19</v>
      </c>
      <c r="J123" t="s">
        <v>19</v>
      </c>
      <c r="K123" s="2">
        <v>12.05</v>
      </c>
      <c r="L123" s="2">
        <v>0</v>
      </c>
      <c r="M123" s="2">
        <v>-12.05</v>
      </c>
      <c r="N123" t="s">
        <v>27</v>
      </c>
    </row>
    <row r="124" spans="1:14">
      <c r="A124" t="s">
        <v>157</v>
      </c>
      <c r="B124" s="18">
        <v>46154</v>
      </c>
      <c r="C124" t="s">
        <v>29</v>
      </c>
      <c r="D124" t="s">
        <v>30</v>
      </c>
      <c r="E124" t="s">
        <v>42</v>
      </c>
      <c r="F124" t="s">
        <v>18</v>
      </c>
      <c r="G124" t="s">
        <v>19</v>
      </c>
      <c r="H124" t="s">
        <v>19</v>
      </c>
      <c r="I124" t="s">
        <v>19</v>
      </c>
      <c r="J124" t="s">
        <v>19</v>
      </c>
      <c r="K124" s="2">
        <v>54.82</v>
      </c>
      <c r="L124" s="2">
        <v>0</v>
      </c>
      <c r="M124" s="2">
        <v>-54.82</v>
      </c>
      <c r="N124" t="s">
        <v>20</v>
      </c>
    </row>
    <row r="125" spans="1:14">
      <c r="A125" t="s">
        <v>158</v>
      </c>
      <c r="B125" s="18">
        <v>46144</v>
      </c>
      <c r="C125" t="s">
        <v>36</v>
      </c>
      <c r="D125" t="s">
        <v>30</v>
      </c>
      <c r="E125" t="s">
        <v>24</v>
      </c>
      <c r="F125" t="s">
        <v>37</v>
      </c>
      <c r="G125" t="s">
        <v>19</v>
      </c>
      <c r="H125" t="s">
        <v>19</v>
      </c>
      <c r="I125" t="s">
        <v>19</v>
      </c>
      <c r="J125" t="s">
        <v>19</v>
      </c>
      <c r="K125" s="2">
        <v>36.75</v>
      </c>
      <c r="L125" s="2">
        <v>0</v>
      </c>
      <c r="M125" s="2">
        <v>-36.75</v>
      </c>
      <c r="N125" t="s">
        <v>20</v>
      </c>
    </row>
    <row r="126" spans="1:14">
      <c r="A126" t="s">
        <v>159</v>
      </c>
      <c r="B126" s="18">
        <v>46157</v>
      </c>
      <c r="C126" t="s">
        <v>36</v>
      </c>
      <c r="D126" t="s">
        <v>30</v>
      </c>
      <c r="E126" t="s">
        <v>17</v>
      </c>
      <c r="F126" t="s">
        <v>25</v>
      </c>
      <c r="G126" t="s">
        <v>26</v>
      </c>
      <c r="H126" t="s">
        <v>19</v>
      </c>
      <c r="I126" t="s">
        <v>19</v>
      </c>
      <c r="J126" t="s">
        <v>19</v>
      </c>
      <c r="K126" s="2">
        <v>38.119999999999997</v>
      </c>
      <c r="L126" s="2">
        <v>0</v>
      </c>
      <c r="M126" s="2">
        <v>-38.119999999999997</v>
      </c>
      <c r="N126" t="s">
        <v>27</v>
      </c>
    </row>
    <row r="127" spans="1:14">
      <c r="A127" t="s">
        <v>160</v>
      </c>
      <c r="B127" s="18">
        <v>46138</v>
      </c>
      <c r="C127" t="s">
        <v>15</v>
      </c>
      <c r="D127" t="s">
        <v>41</v>
      </c>
      <c r="E127" t="s">
        <v>31</v>
      </c>
      <c r="F127" t="s">
        <v>34</v>
      </c>
      <c r="G127" t="s">
        <v>26</v>
      </c>
      <c r="H127" t="s">
        <v>19</v>
      </c>
      <c r="I127" t="s">
        <v>19</v>
      </c>
      <c r="J127" t="s">
        <v>19</v>
      </c>
      <c r="K127" s="2">
        <v>13.42</v>
      </c>
      <c r="L127" s="2">
        <v>0</v>
      </c>
      <c r="M127" s="2">
        <v>-13.42</v>
      </c>
      <c r="N127" t="s">
        <v>27</v>
      </c>
    </row>
    <row r="128" spans="1:14">
      <c r="A128" t="s">
        <v>161</v>
      </c>
      <c r="B128" s="18">
        <v>46127</v>
      </c>
      <c r="C128" t="s">
        <v>15</v>
      </c>
      <c r="D128" t="s">
        <v>41</v>
      </c>
      <c r="E128" t="s">
        <v>42</v>
      </c>
      <c r="F128" t="s">
        <v>25</v>
      </c>
      <c r="G128" t="s">
        <v>26</v>
      </c>
      <c r="H128" t="s">
        <v>19</v>
      </c>
      <c r="I128" t="s">
        <v>19</v>
      </c>
      <c r="J128" t="s">
        <v>19</v>
      </c>
      <c r="K128" s="2">
        <v>63.24</v>
      </c>
      <c r="L128" s="2">
        <v>0</v>
      </c>
      <c r="M128" s="2">
        <v>-63.24</v>
      </c>
      <c r="N128" t="s">
        <v>27</v>
      </c>
    </row>
    <row r="129" spans="1:14">
      <c r="A129" t="s">
        <v>162</v>
      </c>
      <c r="B129" s="18">
        <v>46157</v>
      </c>
      <c r="C129" t="s">
        <v>36</v>
      </c>
      <c r="D129" t="s">
        <v>41</v>
      </c>
      <c r="E129" t="s">
        <v>17</v>
      </c>
      <c r="F129" t="s">
        <v>25</v>
      </c>
      <c r="G129" t="s">
        <v>26</v>
      </c>
      <c r="H129" t="s">
        <v>19</v>
      </c>
      <c r="I129" t="s">
        <v>19</v>
      </c>
      <c r="J129" t="s">
        <v>19</v>
      </c>
      <c r="K129" s="2">
        <v>32.409999999999997</v>
      </c>
      <c r="L129" s="2">
        <v>0</v>
      </c>
      <c r="M129" s="2">
        <v>-32.409999999999997</v>
      </c>
      <c r="N129" t="s">
        <v>27</v>
      </c>
    </row>
    <row r="130" spans="1:14">
      <c r="A130" t="s">
        <v>163</v>
      </c>
      <c r="B130" s="18">
        <v>46131</v>
      </c>
      <c r="C130" t="s">
        <v>36</v>
      </c>
      <c r="D130" t="s">
        <v>23</v>
      </c>
      <c r="E130" t="s">
        <v>31</v>
      </c>
      <c r="F130" t="s">
        <v>25</v>
      </c>
      <c r="G130" t="s">
        <v>26</v>
      </c>
      <c r="H130" t="s">
        <v>26</v>
      </c>
      <c r="I130" t="s">
        <v>26</v>
      </c>
      <c r="J130" t="s">
        <v>26</v>
      </c>
      <c r="K130" s="2">
        <v>14.68</v>
      </c>
      <c r="L130" s="2">
        <v>849.66</v>
      </c>
      <c r="M130" s="2">
        <v>834.98</v>
      </c>
      <c r="N130" t="s">
        <v>38</v>
      </c>
    </row>
    <row r="131" spans="1:14">
      <c r="A131" t="s">
        <v>164</v>
      </c>
      <c r="B131" s="18">
        <v>46139</v>
      </c>
      <c r="C131" t="s">
        <v>15</v>
      </c>
      <c r="D131" t="s">
        <v>16</v>
      </c>
      <c r="E131" t="s">
        <v>17</v>
      </c>
      <c r="F131" t="s">
        <v>37</v>
      </c>
      <c r="G131" t="s">
        <v>19</v>
      </c>
      <c r="H131" t="s">
        <v>19</v>
      </c>
      <c r="I131" t="s">
        <v>19</v>
      </c>
      <c r="J131" t="s">
        <v>19</v>
      </c>
      <c r="K131" s="2">
        <v>42.39</v>
      </c>
      <c r="L131" s="2">
        <v>0</v>
      </c>
      <c r="M131" s="2">
        <v>-42.39</v>
      </c>
      <c r="N131" t="s">
        <v>20</v>
      </c>
    </row>
    <row r="132" spans="1:14">
      <c r="A132" t="s">
        <v>165</v>
      </c>
      <c r="B132" s="18">
        <v>46151</v>
      </c>
      <c r="C132" t="s">
        <v>36</v>
      </c>
      <c r="D132" t="s">
        <v>30</v>
      </c>
      <c r="E132" t="s">
        <v>24</v>
      </c>
      <c r="F132" t="s">
        <v>25</v>
      </c>
      <c r="G132" t="s">
        <v>26</v>
      </c>
      <c r="H132" t="s">
        <v>19</v>
      </c>
      <c r="I132" t="s">
        <v>19</v>
      </c>
      <c r="J132" t="s">
        <v>19</v>
      </c>
      <c r="K132" s="2">
        <v>28.31</v>
      </c>
      <c r="L132" s="2">
        <v>0</v>
      </c>
      <c r="M132" s="2">
        <v>-28.31</v>
      </c>
      <c r="N132" t="s">
        <v>27</v>
      </c>
    </row>
    <row r="133" spans="1:14">
      <c r="A133" t="s">
        <v>166</v>
      </c>
      <c r="B133" s="18">
        <v>46123</v>
      </c>
      <c r="C133" t="s">
        <v>22</v>
      </c>
      <c r="D133" t="s">
        <v>23</v>
      </c>
      <c r="E133" t="s">
        <v>31</v>
      </c>
      <c r="F133" t="s">
        <v>18</v>
      </c>
      <c r="G133" t="s">
        <v>19</v>
      </c>
      <c r="H133" t="s">
        <v>19</v>
      </c>
      <c r="I133" t="s">
        <v>19</v>
      </c>
      <c r="J133" t="s">
        <v>19</v>
      </c>
      <c r="K133" s="2">
        <v>12.49</v>
      </c>
      <c r="L133" s="2">
        <v>0</v>
      </c>
      <c r="M133" s="2">
        <v>-12.49</v>
      </c>
      <c r="N133" t="s">
        <v>20</v>
      </c>
    </row>
    <row r="134" spans="1:14">
      <c r="A134" t="s">
        <v>167</v>
      </c>
      <c r="B134" s="18">
        <v>46142</v>
      </c>
      <c r="C134" t="s">
        <v>29</v>
      </c>
      <c r="D134" t="s">
        <v>16</v>
      </c>
      <c r="E134" t="s">
        <v>24</v>
      </c>
      <c r="F134" t="s">
        <v>37</v>
      </c>
      <c r="G134" t="s">
        <v>19</v>
      </c>
      <c r="H134" t="s">
        <v>19</v>
      </c>
      <c r="I134" t="s">
        <v>19</v>
      </c>
      <c r="J134" t="s">
        <v>19</v>
      </c>
      <c r="K134" s="2">
        <v>33.65</v>
      </c>
      <c r="L134" s="2">
        <v>0</v>
      </c>
      <c r="M134" s="2">
        <v>-33.65</v>
      </c>
      <c r="N134" t="s">
        <v>20</v>
      </c>
    </row>
    <row r="135" spans="1:14">
      <c r="A135" t="s">
        <v>168</v>
      </c>
      <c r="B135" s="18">
        <v>46113</v>
      </c>
      <c r="C135" t="s">
        <v>15</v>
      </c>
      <c r="D135" t="s">
        <v>41</v>
      </c>
      <c r="E135" t="s">
        <v>17</v>
      </c>
      <c r="F135" t="s">
        <v>18</v>
      </c>
      <c r="G135" t="s">
        <v>19</v>
      </c>
      <c r="H135" t="s">
        <v>19</v>
      </c>
      <c r="I135" t="s">
        <v>19</v>
      </c>
      <c r="J135" t="s">
        <v>19</v>
      </c>
      <c r="K135" s="2">
        <v>29.79</v>
      </c>
      <c r="L135" s="2">
        <v>0</v>
      </c>
      <c r="M135" s="2">
        <v>-29.79</v>
      </c>
      <c r="N135" t="s">
        <v>20</v>
      </c>
    </row>
    <row r="136" spans="1:14">
      <c r="A136" t="s">
        <v>169</v>
      </c>
      <c r="B136" s="18">
        <v>46147</v>
      </c>
      <c r="C136" t="s">
        <v>36</v>
      </c>
      <c r="D136" t="s">
        <v>23</v>
      </c>
      <c r="E136" t="s">
        <v>31</v>
      </c>
      <c r="F136" t="s">
        <v>34</v>
      </c>
      <c r="G136" t="s">
        <v>19</v>
      </c>
      <c r="H136" t="s">
        <v>19</v>
      </c>
      <c r="I136" t="s">
        <v>19</v>
      </c>
      <c r="J136" t="s">
        <v>19</v>
      </c>
      <c r="K136" s="2">
        <v>10.59</v>
      </c>
      <c r="L136" s="2">
        <v>0</v>
      </c>
      <c r="M136" s="2">
        <v>-10.59</v>
      </c>
      <c r="N136" t="s">
        <v>20</v>
      </c>
    </row>
    <row r="137" spans="1:14">
      <c r="A137" t="s">
        <v>170</v>
      </c>
      <c r="B137" s="18">
        <v>46123</v>
      </c>
      <c r="C137" t="s">
        <v>36</v>
      </c>
      <c r="D137" t="s">
        <v>16</v>
      </c>
      <c r="E137" t="s">
        <v>31</v>
      </c>
      <c r="F137" t="s">
        <v>34</v>
      </c>
      <c r="G137" t="s">
        <v>26</v>
      </c>
      <c r="H137" t="s">
        <v>26</v>
      </c>
      <c r="I137" t="s">
        <v>19</v>
      </c>
      <c r="J137" t="s">
        <v>19</v>
      </c>
      <c r="K137" s="2">
        <v>9.6999999999999993</v>
      </c>
      <c r="L137" s="2">
        <v>0</v>
      </c>
      <c r="M137" s="2">
        <v>-9.6999999999999993</v>
      </c>
      <c r="N137" t="s">
        <v>222</v>
      </c>
    </row>
    <row r="138" spans="1:14">
      <c r="A138" t="s">
        <v>171</v>
      </c>
      <c r="B138" s="18">
        <v>46116</v>
      </c>
      <c r="C138" t="s">
        <v>36</v>
      </c>
      <c r="D138" t="s">
        <v>23</v>
      </c>
      <c r="E138" t="s">
        <v>31</v>
      </c>
      <c r="F138" t="s">
        <v>25</v>
      </c>
      <c r="G138" t="s">
        <v>26</v>
      </c>
      <c r="H138" t="s">
        <v>19</v>
      </c>
      <c r="I138" t="s">
        <v>19</v>
      </c>
      <c r="J138" t="s">
        <v>19</v>
      </c>
      <c r="K138" s="2">
        <v>13.25</v>
      </c>
      <c r="L138" s="2">
        <v>0</v>
      </c>
      <c r="M138" s="2">
        <v>-13.25</v>
      </c>
      <c r="N138" t="s">
        <v>27</v>
      </c>
    </row>
    <row r="139" spans="1:14">
      <c r="A139" t="s">
        <v>172</v>
      </c>
      <c r="B139" s="18">
        <v>46135</v>
      </c>
      <c r="C139" t="s">
        <v>22</v>
      </c>
      <c r="D139" t="s">
        <v>41</v>
      </c>
      <c r="E139" t="s">
        <v>17</v>
      </c>
      <c r="F139" t="s">
        <v>37</v>
      </c>
      <c r="G139" t="s">
        <v>26</v>
      </c>
      <c r="H139" t="s">
        <v>19</v>
      </c>
      <c r="I139" t="s">
        <v>19</v>
      </c>
      <c r="J139" t="s">
        <v>19</v>
      </c>
      <c r="K139" s="2">
        <v>32.729999999999997</v>
      </c>
      <c r="L139" s="2">
        <v>0</v>
      </c>
      <c r="M139" s="2">
        <v>-32.729999999999997</v>
      </c>
      <c r="N139" t="s">
        <v>27</v>
      </c>
    </row>
    <row r="140" spans="1:14">
      <c r="A140" t="s">
        <v>173</v>
      </c>
      <c r="B140" s="18">
        <v>46137</v>
      </c>
      <c r="C140" t="s">
        <v>15</v>
      </c>
      <c r="D140" t="s">
        <v>41</v>
      </c>
      <c r="E140" t="s">
        <v>42</v>
      </c>
      <c r="F140" t="s">
        <v>37</v>
      </c>
      <c r="G140" t="s">
        <v>26</v>
      </c>
      <c r="H140" t="s">
        <v>26</v>
      </c>
      <c r="I140" t="s">
        <v>26</v>
      </c>
      <c r="J140" t="s">
        <v>26</v>
      </c>
      <c r="K140" s="2">
        <v>60.54</v>
      </c>
      <c r="L140" s="2">
        <v>1376.06</v>
      </c>
      <c r="M140" s="2">
        <v>1315.52</v>
      </c>
      <c r="N140" t="s">
        <v>38</v>
      </c>
    </row>
    <row r="141" spans="1:14">
      <c r="A141" t="s">
        <v>174</v>
      </c>
      <c r="B141" s="18">
        <v>46114</v>
      </c>
      <c r="C141" t="s">
        <v>29</v>
      </c>
      <c r="D141" t="s">
        <v>23</v>
      </c>
      <c r="E141" t="s">
        <v>24</v>
      </c>
      <c r="F141" t="s">
        <v>25</v>
      </c>
      <c r="G141" t="s">
        <v>19</v>
      </c>
      <c r="H141" t="s">
        <v>19</v>
      </c>
      <c r="I141" t="s">
        <v>19</v>
      </c>
      <c r="J141" t="s">
        <v>19</v>
      </c>
      <c r="K141" s="2">
        <v>29.75</v>
      </c>
      <c r="L141" s="2">
        <v>0</v>
      </c>
      <c r="M141" s="2">
        <v>-29.75</v>
      </c>
      <c r="N141" t="s">
        <v>20</v>
      </c>
    </row>
    <row r="142" spans="1:14">
      <c r="A142" t="s">
        <v>175</v>
      </c>
      <c r="B142" s="18">
        <v>46144</v>
      </c>
      <c r="C142" t="s">
        <v>36</v>
      </c>
      <c r="D142" t="s">
        <v>16</v>
      </c>
      <c r="E142" t="s">
        <v>31</v>
      </c>
      <c r="F142" t="s">
        <v>25</v>
      </c>
      <c r="G142" t="s">
        <v>19</v>
      </c>
      <c r="H142" t="s">
        <v>19</v>
      </c>
      <c r="I142" t="s">
        <v>19</v>
      </c>
      <c r="J142" t="s">
        <v>19</v>
      </c>
      <c r="K142" s="2">
        <v>15</v>
      </c>
      <c r="L142" s="2">
        <v>0</v>
      </c>
      <c r="M142" s="2">
        <v>-15</v>
      </c>
      <c r="N142" t="s">
        <v>20</v>
      </c>
    </row>
    <row r="143" spans="1:14">
      <c r="A143" t="s">
        <v>176</v>
      </c>
      <c r="B143" s="18">
        <v>46115</v>
      </c>
      <c r="C143" t="s">
        <v>15</v>
      </c>
      <c r="D143" t="s">
        <v>30</v>
      </c>
      <c r="E143" t="s">
        <v>42</v>
      </c>
      <c r="F143" t="s">
        <v>37</v>
      </c>
      <c r="G143" t="s">
        <v>19</v>
      </c>
      <c r="H143" t="s">
        <v>19</v>
      </c>
      <c r="I143" t="s">
        <v>19</v>
      </c>
      <c r="J143" t="s">
        <v>19</v>
      </c>
      <c r="K143" s="2">
        <v>47.15</v>
      </c>
      <c r="L143" s="2">
        <v>0</v>
      </c>
      <c r="M143" s="2">
        <v>-47.15</v>
      </c>
      <c r="N143" t="s">
        <v>20</v>
      </c>
    </row>
    <row r="144" spans="1:14">
      <c r="A144" t="s">
        <v>177</v>
      </c>
      <c r="B144" s="18">
        <v>46114</v>
      </c>
      <c r="C144" t="s">
        <v>15</v>
      </c>
      <c r="D144" t="s">
        <v>41</v>
      </c>
      <c r="E144" t="s">
        <v>17</v>
      </c>
      <c r="F144" t="s">
        <v>34</v>
      </c>
      <c r="G144" t="s">
        <v>19</v>
      </c>
      <c r="H144" t="s">
        <v>19</v>
      </c>
      <c r="I144" t="s">
        <v>19</v>
      </c>
      <c r="J144" t="s">
        <v>19</v>
      </c>
      <c r="K144" s="2">
        <v>26.53</v>
      </c>
      <c r="L144" s="2">
        <v>0</v>
      </c>
      <c r="M144" s="2">
        <v>-26.53</v>
      </c>
      <c r="N144" t="s">
        <v>20</v>
      </c>
    </row>
    <row r="145" spans="1:14">
      <c r="A145" t="s">
        <v>178</v>
      </c>
      <c r="B145" s="18">
        <v>46119</v>
      </c>
      <c r="C145" t="s">
        <v>36</v>
      </c>
      <c r="D145" t="s">
        <v>30</v>
      </c>
      <c r="E145" t="s">
        <v>17</v>
      </c>
      <c r="F145" t="s">
        <v>34</v>
      </c>
      <c r="G145" t="s">
        <v>19</v>
      </c>
      <c r="H145" t="s">
        <v>19</v>
      </c>
      <c r="I145" t="s">
        <v>19</v>
      </c>
      <c r="J145" t="s">
        <v>19</v>
      </c>
      <c r="K145" s="2">
        <v>23.5</v>
      </c>
      <c r="L145" s="2">
        <v>0</v>
      </c>
      <c r="M145" s="2">
        <v>-23.5</v>
      </c>
      <c r="N145" t="s">
        <v>20</v>
      </c>
    </row>
    <row r="146" spans="1:14">
      <c r="A146" t="s">
        <v>179</v>
      </c>
      <c r="B146" s="18">
        <v>46147</v>
      </c>
      <c r="C146" t="s">
        <v>29</v>
      </c>
      <c r="D146" t="s">
        <v>23</v>
      </c>
      <c r="E146" t="s">
        <v>42</v>
      </c>
      <c r="F146" t="s">
        <v>34</v>
      </c>
      <c r="G146" t="s">
        <v>26</v>
      </c>
      <c r="H146" t="s">
        <v>19</v>
      </c>
      <c r="I146" t="s">
        <v>19</v>
      </c>
      <c r="J146" t="s">
        <v>19</v>
      </c>
      <c r="K146" s="2">
        <v>62.25</v>
      </c>
      <c r="L146" s="2">
        <v>0</v>
      </c>
      <c r="M146" s="2">
        <v>-62.25</v>
      </c>
      <c r="N146" t="s">
        <v>27</v>
      </c>
    </row>
    <row r="147" spans="1:14">
      <c r="A147" t="s">
        <v>180</v>
      </c>
      <c r="B147" s="18">
        <v>46146</v>
      </c>
      <c r="C147" t="s">
        <v>29</v>
      </c>
      <c r="D147" t="s">
        <v>23</v>
      </c>
      <c r="E147" t="s">
        <v>24</v>
      </c>
      <c r="F147" t="s">
        <v>34</v>
      </c>
      <c r="G147" t="s">
        <v>19</v>
      </c>
      <c r="H147" t="s">
        <v>19</v>
      </c>
      <c r="I147" t="s">
        <v>19</v>
      </c>
      <c r="J147" t="s">
        <v>19</v>
      </c>
      <c r="K147" s="2">
        <v>29.83</v>
      </c>
      <c r="L147" s="2">
        <v>0</v>
      </c>
      <c r="M147" s="2">
        <v>-29.83</v>
      </c>
      <c r="N147" t="s">
        <v>20</v>
      </c>
    </row>
    <row r="148" spans="1:14">
      <c r="A148" t="s">
        <v>181</v>
      </c>
      <c r="B148" s="18">
        <v>46131</v>
      </c>
      <c r="C148" t="s">
        <v>36</v>
      </c>
      <c r="D148" t="s">
        <v>23</v>
      </c>
      <c r="E148" t="s">
        <v>24</v>
      </c>
      <c r="F148" t="s">
        <v>34</v>
      </c>
      <c r="G148" t="s">
        <v>19</v>
      </c>
      <c r="H148" t="s">
        <v>19</v>
      </c>
      <c r="I148" t="s">
        <v>19</v>
      </c>
      <c r="J148" t="s">
        <v>19</v>
      </c>
      <c r="K148" s="2">
        <v>23.25</v>
      </c>
      <c r="L148" s="2">
        <v>0</v>
      </c>
      <c r="M148" s="2">
        <v>-23.25</v>
      </c>
      <c r="N148" t="s">
        <v>20</v>
      </c>
    </row>
    <row r="149" spans="1:14">
      <c r="A149" t="s">
        <v>182</v>
      </c>
      <c r="B149" s="18">
        <v>46147</v>
      </c>
      <c r="C149" t="s">
        <v>15</v>
      </c>
      <c r="D149" t="s">
        <v>23</v>
      </c>
      <c r="E149" t="s">
        <v>17</v>
      </c>
      <c r="F149" t="s">
        <v>18</v>
      </c>
      <c r="G149" t="s">
        <v>19</v>
      </c>
      <c r="H149" t="s">
        <v>19</v>
      </c>
      <c r="I149" t="s">
        <v>19</v>
      </c>
      <c r="J149" t="s">
        <v>19</v>
      </c>
      <c r="K149" s="2">
        <v>27.47</v>
      </c>
      <c r="L149" s="2">
        <v>0</v>
      </c>
      <c r="M149" s="2">
        <v>-27.47</v>
      </c>
      <c r="N149" t="s">
        <v>20</v>
      </c>
    </row>
    <row r="150" spans="1:14">
      <c r="A150" t="s">
        <v>183</v>
      </c>
      <c r="B150" s="18">
        <v>46132</v>
      </c>
      <c r="C150" t="s">
        <v>15</v>
      </c>
      <c r="D150" t="s">
        <v>30</v>
      </c>
      <c r="E150" t="s">
        <v>31</v>
      </c>
      <c r="F150" t="s">
        <v>37</v>
      </c>
      <c r="G150" t="s">
        <v>19</v>
      </c>
      <c r="H150" t="s">
        <v>19</v>
      </c>
      <c r="I150" t="s">
        <v>19</v>
      </c>
      <c r="J150" t="s">
        <v>19</v>
      </c>
      <c r="K150" s="2">
        <v>17.39</v>
      </c>
      <c r="L150" s="2">
        <v>0</v>
      </c>
      <c r="M150" s="2">
        <v>-17.39</v>
      </c>
      <c r="N150" t="s">
        <v>20</v>
      </c>
    </row>
    <row r="151" spans="1:14">
      <c r="A151" t="s">
        <v>184</v>
      </c>
      <c r="B151" s="18">
        <v>46130</v>
      </c>
      <c r="C151" t="s">
        <v>29</v>
      </c>
      <c r="D151" t="s">
        <v>23</v>
      </c>
      <c r="E151" t="s">
        <v>17</v>
      </c>
      <c r="F151" t="s">
        <v>25</v>
      </c>
      <c r="G151" t="s">
        <v>19</v>
      </c>
      <c r="H151" t="s">
        <v>19</v>
      </c>
      <c r="I151" t="s">
        <v>19</v>
      </c>
      <c r="J151" t="s">
        <v>19</v>
      </c>
      <c r="K151" s="2">
        <v>32.299999999999997</v>
      </c>
      <c r="L151" s="2">
        <v>0</v>
      </c>
      <c r="M151" s="2">
        <v>-32.299999999999997</v>
      </c>
      <c r="N151" t="s">
        <v>20</v>
      </c>
    </row>
    <row r="152" spans="1:14">
      <c r="A152" t="s">
        <v>185</v>
      </c>
      <c r="B152" s="18">
        <v>46156</v>
      </c>
      <c r="C152" t="s">
        <v>36</v>
      </c>
      <c r="D152" t="s">
        <v>41</v>
      </c>
      <c r="E152" t="s">
        <v>42</v>
      </c>
      <c r="F152" t="s">
        <v>34</v>
      </c>
      <c r="G152" t="s">
        <v>19</v>
      </c>
      <c r="H152" t="s">
        <v>19</v>
      </c>
      <c r="I152" t="s">
        <v>19</v>
      </c>
      <c r="J152" t="s">
        <v>19</v>
      </c>
      <c r="K152" s="2">
        <v>57.91</v>
      </c>
      <c r="L152" s="2">
        <v>0</v>
      </c>
      <c r="M152" s="2">
        <v>-57.91</v>
      </c>
      <c r="N152" t="s">
        <v>20</v>
      </c>
    </row>
    <row r="153" spans="1:14">
      <c r="A153" t="s">
        <v>186</v>
      </c>
      <c r="B153" s="18">
        <v>46143</v>
      </c>
      <c r="C153" t="s">
        <v>15</v>
      </c>
      <c r="D153" t="s">
        <v>16</v>
      </c>
      <c r="E153" t="s">
        <v>17</v>
      </c>
      <c r="F153" t="s">
        <v>25</v>
      </c>
      <c r="G153" t="s">
        <v>26</v>
      </c>
      <c r="H153" t="s">
        <v>19</v>
      </c>
      <c r="I153" t="s">
        <v>19</v>
      </c>
      <c r="J153" t="s">
        <v>19</v>
      </c>
      <c r="K153" s="2">
        <v>37.049999999999997</v>
      </c>
      <c r="L153" s="2">
        <v>0</v>
      </c>
      <c r="M153" s="2">
        <v>-37.049999999999997</v>
      </c>
      <c r="N153" t="s">
        <v>27</v>
      </c>
    </row>
    <row r="154" spans="1:14">
      <c r="A154" t="s">
        <v>187</v>
      </c>
      <c r="B154" s="18">
        <v>46125</v>
      </c>
      <c r="C154" t="s">
        <v>36</v>
      </c>
      <c r="D154" t="s">
        <v>23</v>
      </c>
      <c r="E154" t="s">
        <v>24</v>
      </c>
      <c r="F154" t="s">
        <v>25</v>
      </c>
      <c r="G154" t="s">
        <v>26</v>
      </c>
      <c r="H154" t="s">
        <v>19</v>
      </c>
      <c r="I154" t="s">
        <v>19</v>
      </c>
      <c r="J154" t="s">
        <v>19</v>
      </c>
      <c r="K154" s="2">
        <v>32.26</v>
      </c>
      <c r="L154" s="2">
        <v>0</v>
      </c>
      <c r="M154" s="2">
        <v>-32.26</v>
      </c>
      <c r="N154" t="s">
        <v>27</v>
      </c>
    </row>
    <row r="155" spans="1:14">
      <c r="A155" t="s">
        <v>188</v>
      </c>
      <c r="B155" s="18">
        <v>46115</v>
      </c>
      <c r="C155" t="s">
        <v>36</v>
      </c>
      <c r="D155" t="s">
        <v>41</v>
      </c>
      <c r="E155" t="s">
        <v>31</v>
      </c>
      <c r="F155" t="s">
        <v>25</v>
      </c>
      <c r="G155" t="s">
        <v>26</v>
      </c>
      <c r="H155" t="s">
        <v>19</v>
      </c>
      <c r="I155" t="s">
        <v>19</v>
      </c>
      <c r="J155" t="s">
        <v>19</v>
      </c>
      <c r="K155" s="2">
        <v>14.44</v>
      </c>
      <c r="L155" s="2">
        <v>0</v>
      </c>
      <c r="M155" s="2">
        <v>-14.44</v>
      </c>
      <c r="N155" t="s">
        <v>27</v>
      </c>
    </row>
    <row r="156" spans="1:14">
      <c r="A156" t="s">
        <v>189</v>
      </c>
      <c r="B156" s="18">
        <v>46126</v>
      </c>
      <c r="C156" t="s">
        <v>29</v>
      </c>
      <c r="D156" t="s">
        <v>41</v>
      </c>
      <c r="E156" t="s">
        <v>31</v>
      </c>
      <c r="F156" t="s">
        <v>18</v>
      </c>
      <c r="G156" t="s">
        <v>19</v>
      </c>
      <c r="H156" t="s">
        <v>19</v>
      </c>
      <c r="I156" t="s">
        <v>19</v>
      </c>
      <c r="J156" t="s">
        <v>19</v>
      </c>
      <c r="K156" s="2">
        <v>12.91</v>
      </c>
      <c r="L156" s="2">
        <v>0</v>
      </c>
      <c r="M156" s="2">
        <v>-12.91</v>
      </c>
      <c r="N156" t="s">
        <v>20</v>
      </c>
    </row>
    <row r="157" spans="1:14">
      <c r="A157" t="s">
        <v>190</v>
      </c>
      <c r="B157" s="18">
        <v>46117</v>
      </c>
      <c r="C157" t="s">
        <v>29</v>
      </c>
      <c r="D157" t="s">
        <v>30</v>
      </c>
      <c r="E157" t="s">
        <v>17</v>
      </c>
      <c r="F157" t="s">
        <v>37</v>
      </c>
      <c r="G157" t="s">
        <v>19</v>
      </c>
      <c r="H157" t="s">
        <v>19</v>
      </c>
      <c r="I157" t="s">
        <v>19</v>
      </c>
      <c r="J157" t="s">
        <v>19</v>
      </c>
      <c r="K157" s="2">
        <v>30.47</v>
      </c>
      <c r="L157" s="2">
        <v>0</v>
      </c>
      <c r="M157" s="2">
        <v>-30.47</v>
      </c>
      <c r="N157" t="s">
        <v>20</v>
      </c>
    </row>
    <row r="158" spans="1:14">
      <c r="A158" t="s">
        <v>191</v>
      </c>
      <c r="B158" s="18">
        <v>46121</v>
      </c>
      <c r="C158" t="s">
        <v>15</v>
      </c>
      <c r="D158" t="s">
        <v>30</v>
      </c>
      <c r="E158" t="s">
        <v>31</v>
      </c>
      <c r="F158" t="s">
        <v>18</v>
      </c>
      <c r="G158" t="s">
        <v>19</v>
      </c>
      <c r="H158" t="s">
        <v>19</v>
      </c>
      <c r="I158" t="s">
        <v>19</v>
      </c>
      <c r="J158" t="s">
        <v>19</v>
      </c>
      <c r="K158" s="2">
        <v>12.19</v>
      </c>
      <c r="L158" s="2">
        <v>0</v>
      </c>
      <c r="M158" s="2">
        <v>-12.19</v>
      </c>
      <c r="N158" t="s">
        <v>20</v>
      </c>
    </row>
    <row r="159" spans="1:14">
      <c r="A159" t="s">
        <v>192</v>
      </c>
      <c r="B159" s="18">
        <v>46138</v>
      </c>
      <c r="C159" t="s">
        <v>29</v>
      </c>
      <c r="D159" t="s">
        <v>16</v>
      </c>
      <c r="E159" t="s">
        <v>31</v>
      </c>
      <c r="F159" t="s">
        <v>34</v>
      </c>
      <c r="G159" t="s">
        <v>26</v>
      </c>
      <c r="H159" t="s">
        <v>19</v>
      </c>
      <c r="I159" t="s">
        <v>19</v>
      </c>
      <c r="J159" t="s">
        <v>19</v>
      </c>
      <c r="K159" s="2">
        <v>13.28</v>
      </c>
      <c r="L159" s="2">
        <v>0</v>
      </c>
      <c r="M159" s="2">
        <v>-13.28</v>
      </c>
      <c r="N159" t="s">
        <v>27</v>
      </c>
    </row>
    <row r="160" spans="1:14">
      <c r="A160" t="s">
        <v>193</v>
      </c>
      <c r="B160" s="18">
        <v>46129</v>
      </c>
      <c r="C160" t="s">
        <v>36</v>
      </c>
      <c r="D160" t="s">
        <v>23</v>
      </c>
      <c r="E160" t="s">
        <v>31</v>
      </c>
      <c r="F160" t="s">
        <v>18</v>
      </c>
      <c r="G160" t="s">
        <v>26</v>
      </c>
      <c r="H160" t="s">
        <v>26</v>
      </c>
      <c r="I160" t="s">
        <v>19</v>
      </c>
      <c r="J160" t="s">
        <v>19</v>
      </c>
      <c r="K160" s="2">
        <v>10.45</v>
      </c>
      <c r="L160" s="2">
        <v>0</v>
      </c>
      <c r="M160" s="2">
        <v>-10.45</v>
      </c>
      <c r="N160" t="s">
        <v>222</v>
      </c>
    </row>
    <row r="161" spans="1:14">
      <c r="A161" t="s">
        <v>194</v>
      </c>
      <c r="B161" s="18">
        <v>46125</v>
      </c>
      <c r="C161" t="s">
        <v>29</v>
      </c>
      <c r="D161" t="s">
        <v>30</v>
      </c>
      <c r="E161" t="s">
        <v>42</v>
      </c>
      <c r="F161" t="s">
        <v>18</v>
      </c>
      <c r="G161" t="s">
        <v>26</v>
      </c>
      <c r="H161" t="s">
        <v>26</v>
      </c>
      <c r="I161" t="s">
        <v>26</v>
      </c>
      <c r="J161" t="s">
        <v>19</v>
      </c>
      <c r="K161" s="2">
        <v>50.29</v>
      </c>
      <c r="L161" s="2">
        <v>0</v>
      </c>
      <c r="M161" s="2">
        <v>-50.29</v>
      </c>
      <c r="N161" t="s">
        <v>221</v>
      </c>
    </row>
    <row r="162" spans="1:14">
      <c r="A162" t="s">
        <v>195</v>
      </c>
      <c r="B162" s="18">
        <v>46117</v>
      </c>
      <c r="C162" t="s">
        <v>15</v>
      </c>
      <c r="D162" t="s">
        <v>41</v>
      </c>
      <c r="E162" t="s">
        <v>24</v>
      </c>
      <c r="F162" t="s">
        <v>37</v>
      </c>
      <c r="G162" t="s">
        <v>19</v>
      </c>
      <c r="H162" t="s">
        <v>19</v>
      </c>
      <c r="I162" t="s">
        <v>19</v>
      </c>
      <c r="J162" t="s">
        <v>19</v>
      </c>
      <c r="K162" s="2">
        <v>20.53</v>
      </c>
      <c r="L162" s="2">
        <v>0</v>
      </c>
      <c r="M162" s="2">
        <v>-20.53</v>
      </c>
      <c r="N162" t="s">
        <v>20</v>
      </c>
    </row>
    <row r="163" spans="1:14">
      <c r="A163" t="s">
        <v>196</v>
      </c>
      <c r="B163" s="18">
        <v>46123</v>
      </c>
      <c r="C163" t="s">
        <v>36</v>
      </c>
      <c r="D163" t="s">
        <v>23</v>
      </c>
      <c r="E163" t="s">
        <v>17</v>
      </c>
      <c r="F163" t="s">
        <v>18</v>
      </c>
      <c r="G163" t="s">
        <v>26</v>
      </c>
      <c r="H163" t="s">
        <v>19</v>
      </c>
      <c r="I163" t="s">
        <v>19</v>
      </c>
      <c r="J163" t="s">
        <v>19</v>
      </c>
      <c r="K163" s="2">
        <v>23.7</v>
      </c>
      <c r="L163" s="2">
        <v>0</v>
      </c>
      <c r="M163" s="2">
        <v>-23.7</v>
      </c>
      <c r="N163" t="s">
        <v>27</v>
      </c>
    </row>
    <row r="164" spans="1:14">
      <c r="A164" t="s">
        <v>197</v>
      </c>
      <c r="B164" s="18">
        <v>46120</v>
      </c>
      <c r="C164" t="s">
        <v>15</v>
      </c>
      <c r="D164" t="s">
        <v>30</v>
      </c>
      <c r="E164" t="s">
        <v>31</v>
      </c>
      <c r="F164" t="s">
        <v>18</v>
      </c>
      <c r="G164" t="s">
        <v>26</v>
      </c>
      <c r="H164" t="s">
        <v>26</v>
      </c>
      <c r="I164" t="s">
        <v>19</v>
      </c>
      <c r="J164" t="s">
        <v>19</v>
      </c>
      <c r="K164" s="2">
        <v>13.66</v>
      </c>
      <c r="L164" s="2">
        <v>0</v>
      </c>
      <c r="M164" s="2">
        <v>-13.66</v>
      </c>
      <c r="N164" t="s">
        <v>222</v>
      </c>
    </row>
    <row r="165" spans="1:14">
      <c r="A165" t="s">
        <v>198</v>
      </c>
      <c r="B165" s="18">
        <v>46137</v>
      </c>
      <c r="C165" t="s">
        <v>22</v>
      </c>
      <c r="D165" t="s">
        <v>41</v>
      </c>
      <c r="E165" t="s">
        <v>17</v>
      </c>
      <c r="F165" t="s">
        <v>37</v>
      </c>
      <c r="G165" t="s">
        <v>19</v>
      </c>
      <c r="H165" t="s">
        <v>19</v>
      </c>
      <c r="I165" t="s">
        <v>19</v>
      </c>
      <c r="J165" t="s">
        <v>19</v>
      </c>
      <c r="K165" s="2">
        <v>26.05</v>
      </c>
      <c r="L165" s="2">
        <v>0</v>
      </c>
      <c r="M165" s="2">
        <v>-26.05</v>
      </c>
      <c r="N165" t="s">
        <v>20</v>
      </c>
    </row>
    <row r="166" spans="1:14">
      <c r="A166" t="s">
        <v>199</v>
      </c>
      <c r="B166" s="18">
        <v>46117</v>
      </c>
      <c r="C166" t="s">
        <v>22</v>
      </c>
      <c r="D166" t="s">
        <v>16</v>
      </c>
      <c r="E166" t="s">
        <v>17</v>
      </c>
      <c r="F166" t="s">
        <v>37</v>
      </c>
      <c r="G166" t="s">
        <v>26</v>
      </c>
      <c r="H166" t="s">
        <v>19</v>
      </c>
      <c r="I166" t="s">
        <v>19</v>
      </c>
      <c r="J166" t="s">
        <v>19</v>
      </c>
      <c r="K166" s="2">
        <v>26.46</v>
      </c>
      <c r="L166" s="2">
        <v>0</v>
      </c>
      <c r="M166" s="2">
        <v>-26.46</v>
      </c>
      <c r="N166" t="s">
        <v>27</v>
      </c>
    </row>
    <row r="167" spans="1:14">
      <c r="A167" t="s">
        <v>200</v>
      </c>
      <c r="B167" s="18">
        <v>46142</v>
      </c>
      <c r="C167" t="s">
        <v>36</v>
      </c>
      <c r="D167" t="s">
        <v>23</v>
      </c>
      <c r="E167" t="s">
        <v>31</v>
      </c>
      <c r="F167" t="s">
        <v>25</v>
      </c>
      <c r="G167" t="s">
        <v>26</v>
      </c>
      <c r="H167" t="s">
        <v>19</v>
      </c>
      <c r="I167" t="s">
        <v>19</v>
      </c>
      <c r="J167" t="s">
        <v>19</v>
      </c>
      <c r="K167" s="2">
        <v>12.37</v>
      </c>
      <c r="L167" s="2">
        <v>0</v>
      </c>
      <c r="M167" s="2">
        <v>-12.37</v>
      </c>
      <c r="N167" t="s">
        <v>27</v>
      </c>
    </row>
    <row r="168" spans="1:14">
      <c r="A168" t="s">
        <v>201</v>
      </c>
      <c r="B168" s="18">
        <v>46114</v>
      </c>
      <c r="C168" t="s">
        <v>15</v>
      </c>
      <c r="D168" t="s">
        <v>16</v>
      </c>
      <c r="E168" t="s">
        <v>24</v>
      </c>
      <c r="F168" t="s">
        <v>34</v>
      </c>
      <c r="G168" t="s">
        <v>19</v>
      </c>
      <c r="H168" t="s">
        <v>19</v>
      </c>
      <c r="I168" t="s">
        <v>19</v>
      </c>
      <c r="J168" t="s">
        <v>19</v>
      </c>
      <c r="K168" s="2">
        <v>25.01</v>
      </c>
      <c r="L168" s="2">
        <v>0</v>
      </c>
      <c r="M168" s="2">
        <v>-25.01</v>
      </c>
      <c r="N168" t="s">
        <v>20</v>
      </c>
    </row>
    <row r="169" spans="1:14">
      <c r="A169" t="s">
        <v>202</v>
      </c>
      <c r="B169" s="18">
        <v>46146</v>
      </c>
      <c r="C169" t="s">
        <v>36</v>
      </c>
      <c r="D169" t="s">
        <v>23</v>
      </c>
      <c r="E169" t="s">
        <v>17</v>
      </c>
      <c r="F169" t="s">
        <v>34</v>
      </c>
      <c r="G169" t="s">
        <v>19</v>
      </c>
      <c r="H169" t="s">
        <v>19</v>
      </c>
      <c r="I169" t="s">
        <v>19</v>
      </c>
      <c r="J169" t="s">
        <v>19</v>
      </c>
      <c r="K169" s="2">
        <v>32.47</v>
      </c>
      <c r="L169" s="2">
        <v>0</v>
      </c>
      <c r="M169" s="2">
        <v>-32.47</v>
      </c>
      <c r="N169" t="s">
        <v>20</v>
      </c>
    </row>
    <row r="170" spans="1:14">
      <c r="A170" t="s">
        <v>203</v>
      </c>
      <c r="B170" s="18">
        <v>46133</v>
      </c>
      <c r="C170" t="s">
        <v>15</v>
      </c>
      <c r="D170" t="s">
        <v>16</v>
      </c>
      <c r="E170" t="s">
        <v>17</v>
      </c>
      <c r="F170" t="s">
        <v>18</v>
      </c>
      <c r="G170" t="s">
        <v>19</v>
      </c>
      <c r="H170" t="s">
        <v>19</v>
      </c>
      <c r="I170" t="s">
        <v>19</v>
      </c>
      <c r="J170" t="s">
        <v>19</v>
      </c>
      <c r="K170" s="2">
        <v>35.409999999999997</v>
      </c>
      <c r="L170" s="2">
        <v>0</v>
      </c>
      <c r="M170" s="2">
        <v>-35.409999999999997</v>
      </c>
      <c r="N170" t="s">
        <v>20</v>
      </c>
    </row>
    <row r="171" spans="1:14">
      <c r="A171" t="s">
        <v>204</v>
      </c>
      <c r="B171" s="18">
        <v>46147</v>
      </c>
      <c r="C171" t="s">
        <v>36</v>
      </c>
      <c r="D171" t="s">
        <v>41</v>
      </c>
      <c r="E171" t="s">
        <v>31</v>
      </c>
      <c r="F171" t="s">
        <v>18</v>
      </c>
      <c r="G171" t="s">
        <v>19</v>
      </c>
      <c r="H171" t="s">
        <v>19</v>
      </c>
      <c r="I171" t="s">
        <v>19</v>
      </c>
      <c r="J171" t="s">
        <v>19</v>
      </c>
      <c r="K171" s="2">
        <v>11.54</v>
      </c>
      <c r="L171" s="2">
        <v>0</v>
      </c>
      <c r="M171" s="2">
        <v>-11.54</v>
      </c>
      <c r="N171" t="s">
        <v>20</v>
      </c>
    </row>
    <row r="172" spans="1:14">
      <c r="A172" t="s">
        <v>205</v>
      </c>
      <c r="B172" s="18">
        <v>46148</v>
      </c>
      <c r="C172" t="s">
        <v>29</v>
      </c>
      <c r="D172" t="s">
        <v>23</v>
      </c>
      <c r="E172" t="s">
        <v>31</v>
      </c>
      <c r="F172" t="s">
        <v>37</v>
      </c>
      <c r="G172" t="s">
        <v>26</v>
      </c>
      <c r="H172" t="s">
        <v>26</v>
      </c>
      <c r="I172" t="s">
        <v>26</v>
      </c>
      <c r="J172" t="s">
        <v>26</v>
      </c>
      <c r="K172" s="2">
        <v>14.77</v>
      </c>
      <c r="L172" s="2">
        <v>397.58</v>
      </c>
      <c r="M172" s="2">
        <v>382.81</v>
      </c>
      <c r="N172" t="s">
        <v>38</v>
      </c>
    </row>
    <row r="173" spans="1:14">
      <c r="A173" t="s">
        <v>206</v>
      </c>
      <c r="B173" s="18">
        <v>46125</v>
      </c>
      <c r="C173" t="s">
        <v>29</v>
      </c>
      <c r="D173" t="s">
        <v>41</v>
      </c>
      <c r="E173" t="s">
        <v>42</v>
      </c>
      <c r="F173" t="s">
        <v>25</v>
      </c>
      <c r="G173" t="s">
        <v>26</v>
      </c>
      <c r="H173" t="s">
        <v>19</v>
      </c>
      <c r="I173" t="s">
        <v>19</v>
      </c>
      <c r="J173" t="s">
        <v>19</v>
      </c>
      <c r="K173" s="2">
        <v>48.96</v>
      </c>
      <c r="L173" s="2">
        <v>0</v>
      </c>
      <c r="M173" s="2">
        <v>-48.96</v>
      </c>
      <c r="N173" t="s">
        <v>27</v>
      </c>
    </row>
    <row r="174" spans="1:14">
      <c r="A174" t="s">
        <v>207</v>
      </c>
      <c r="B174" s="18">
        <v>46141</v>
      </c>
      <c r="C174" t="s">
        <v>22</v>
      </c>
      <c r="D174" t="s">
        <v>16</v>
      </c>
      <c r="E174" t="s">
        <v>42</v>
      </c>
      <c r="F174" t="s">
        <v>18</v>
      </c>
      <c r="G174" t="s">
        <v>26</v>
      </c>
      <c r="H174" t="s">
        <v>26</v>
      </c>
      <c r="I174" t="s">
        <v>26</v>
      </c>
      <c r="J174" t="s">
        <v>26</v>
      </c>
      <c r="K174" s="2">
        <v>57.22</v>
      </c>
      <c r="L174" s="2">
        <v>567.29</v>
      </c>
      <c r="M174" s="2">
        <v>510.07</v>
      </c>
      <c r="N174" t="s">
        <v>38</v>
      </c>
    </row>
    <row r="175" spans="1:14">
      <c r="A175" t="s">
        <v>208</v>
      </c>
      <c r="B175" s="18">
        <v>46139</v>
      </c>
      <c r="C175" t="s">
        <v>29</v>
      </c>
      <c r="D175" t="s">
        <v>41</v>
      </c>
      <c r="E175" t="s">
        <v>17</v>
      </c>
      <c r="F175" t="s">
        <v>34</v>
      </c>
      <c r="G175" t="s">
        <v>19</v>
      </c>
      <c r="H175" t="s">
        <v>19</v>
      </c>
      <c r="I175" t="s">
        <v>19</v>
      </c>
      <c r="J175" t="s">
        <v>19</v>
      </c>
      <c r="K175" s="2">
        <v>33.67</v>
      </c>
      <c r="L175" s="2">
        <v>0</v>
      </c>
      <c r="M175" s="2">
        <v>-33.67</v>
      </c>
      <c r="N175" t="s">
        <v>20</v>
      </c>
    </row>
    <row r="176" spans="1:14">
      <c r="A176" t="s">
        <v>209</v>
      </c>
      <c r="B176" s="18">
        <v>46123</v>
      </c>
      <c r="C176" t="s">
        <v>22</v>
      </c>
      <c r="D176" t="s">
        <v>16</v>
      </c>
      <c r="E176" t="s">
        <v>31</v>
      </c>
      <c r="F176" t="s">
        <v>37</v>
      </c>
      <c r="G176" t="s">
        <v>26</v>
      </c>
      <c r="H176" t="s">
        <v>19</v>
      </c>
      <c r="I176" t="s">
        <v>19</v>
      </c>
      <c r="J176" t="s">
        <v>19</v>
      </c>
      <c r="K176" s="2">
        <v>10.01</v>
      </c>
      <c r="L176" s="2">
        <v>0</v>
      </c>
      <c r="M176" s="2">
        <v>-10.01</v>
      </c>
      <c r="N176" t="s">
        <v>27</v>
      </c>
    </row>
    <row r="177" spans="1:14">
      <c r="A177" t="s">
        <v>210</v>
      </c>
      <c r="B177" s="18">
        <v>46157</v>
      </c>
      <c r="C177" t="s">
        <v>15</v>
      </c>
      <c r="D177" t="s">
        <v>30</v>
      </c>
      <c r="E177" t="s">
        <v>42</v>
      </c>
      <c r="F177" t="s">
        <v>34</v>
      </c>
      <c r="G177" t="s">
        <v>26</v>
      </c>
      <c r="H177" t="s">
        <v>26</v>
      </c>
      <c r="I177" t="s">
        <v>26</v>
      </c>
      <c r="J177" t="s">
        <v>26</v>
      </c>
      <c r="K177" s="2">
        <v>53.96</v>
      </c>
      <c r="L177" s="2">
        <v>1294.0899999999999</v>
      </c>
      <c r="M177" s="2">
        <v>1240.1300000000001</v>
      </c>
      <c r="N177" t="s">
        <v>38</v>
      </c>
    </row>
    <row r="178" spans="1:14">
      <c r="A178" t="s">
        <v>211</v>
      </c>
      <c r="B178" s="18">
        <v>46114</v>
      </c>
      <c r="C178" t="s">
        <v>36</v>
      </c>
      <c r="D178" t="s">
        <v>41</v>
      </c>
      <c r="E178" t="s">
        <v>17</v>
      </c>
      <c r="F178" t="s">
        <v>18</v>
      </c>
      <c r="G178" t="s">
        <v>26</v>
      </c>
      <c r="H178" t="s">
        <v>19</v>
      </c>
      <c r="I178" t="s">
        <v>19</v>
      </c>
      <c r="J178" t="s">
        <v>19</v>
      </c>
      <c r="K178" s="2">
        <v>37.11</v>
      </c>
      <c r="L178" s="2">
        <v>0</v>
      </c>
      <c r="M178" s="2">
        <v>-37.11</v>
      </c>
      <c r="N178" t="s">
        <v>27</v>
      </c>
    </row>
    <row r="179" spans="1:14">
      <c r="A179" t="s">
        <v>212</v>
      </c>
      <c r="B179" s="18">
        <v>46121</v>
      </c>
      <c r="C179" t="s">
        <v>15</v>
      </c>
      <c r="D179" t="s">
        <v>41</v>
      </c>
      <c r="E179" t="s">
        <v>31</v>
      </c>
      <c r="F179" t="s">
        <v>25</v>
      </c>
      <c r="G179" t="s">
        <v>26</v>
      </c>
      <c r="H179" t="s">
        <v>26</v>
      </c>
      <c r="I179" t="s">
        <v>26</v>
      </c>
      <c r="J179" t="s">
        <v>26</v>
      </c>
      <c r="K179" s="2">
        <v>8.77</v>
      </c>
      <c r="L179" s="2">
        <v>572.47</v>
      </c>
      <c r="M179" s="2">
        <v>563.70000000000005</v>
      </c>
      <c r="N179" t="s">
        <v>38</v>
      </c>
    </row>
    <row r="180" spans="1:14">
      <c r="A180" t="s">
        <v>213</v>
      </c>
      <c r="B180" s="18">
        <v>46148</v>
      </c>
      <c r="C180" t="s">
        <v>15</v>
      </c>
      <c r="D180" t="s">
        <v>41</v>
      </c>
      <c r="E180" t="s">
        <v>31</v>
      </c>
      <c r="F180" t="s">
        <v>25</v>
      </c>
      <c r="G180" t="s">
        <v>26</v>
      </c>
      <c r="H180" t="s">
        <v>19</v>
      </c>
      <c r="I180" t="s">
        <v>19</v>
      </c>
      <c r="J180" t="s">
        <v>19</v>
      </c>
      <c r="K180" s="2">
        <v>15.69</v>
      </c>
      <c r="L180" s="2">
        <v>0</v>
      </c>
      <c r="M180" s="2">
        <v>-15.69</v>
      </c>
      <c r="N180" t="s">
        <v>27</v>
      </c>
    </row>
    <row r="181" spans="1:14">
      <c r="A181" t="s">
        <v>214</v>
      </c>
      <c r="B181" s="18">
        <v>46138</v>
      </c>
      <c r="C181" t="s">
        <v>36</v>
      </c>
      <c r="D181" t="s">
        <v>23</v>
      </c>
      <c r="E181" t="s">
        <v>24</v>
      </c>
      <c r="F181" t="s">
        <v>18</v>
      </c>
      <c r="G181" t="s">
        <v>26</v>
      </c>
      <c r="H181" t="s">
        <v>19</v>
      </c>
      <c r="I181" t="s">
        <v>19</v>
      </c>
      <c r="J181" t="s">
        <v>19</v>
      </c>
      <c r="K181" s="2">
        <v>31.8</v>
      </c>
      <c r="L181" s="2">
        <v>0</v>
      </c>
      <c r="M181" s="2">
        <v>-31.8</v>
      </c>
      <c r="N181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663CD-0EF9-4164-B4EF-DBB1283379B5}">
  <sheetPr codeName="Sheet2"/>
  <dimension ref="A3:B7"/>
  <sheetViews>
    <sheetView workbookViewId="0"/>
  </sheetViews>
  <sheetFormatPr defaultRowHeight="14.25"/>
  <sheetData>
    <row r="3" spans="1:2">
      <c r="A3" t="s">
        <v>232</v>
      </c>
      <c r="B3" t="s">
        <v>231</v>
      </c>
    </row>
    <row r="4" spans="1:2">
      <c r="A4" t="s">
        <v>230</v>
      </c>
      <c r="B4" t="s">
        <v>229</v>
      </c>
    </row>
    <row r="5" spans="1:2">
      <c r="A5" t="s">
        <v>228</v>
      </c>
      <c r="B5" t="s">
        <v>227</v>
      </c>
    </row>
    <row r="6" spans="1:2">
      <c r="A6" t="s">
        <v>226</v>
      </c>
      <c r="B6" t="s">
        <v>225</v>
      </c>
    </row>
    <row r="7" spans="1:2">
      <c r="A7" t="s">
        <v>224</v>
      </c>
      <c r="B7" t="s">
        <v>223</v>
      </c>
    </row>
  </sheetData>
  <sheetProtection algorithmName="SHA-512" hashValue="QGImFefkdMzY0Nz2McOkU3UgkDM9vegVp65VRA3ieOJFkxBKQ/tdcWdsJHBE0vMD5ZpntY6mTIFNTWxK4YAOcg==" saltValue="/FbmL9cfsyhugvE8dKfXmQ==" spinCount="100000" sheet="1" objects="1" scenarios="1"/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4097" r:id="rId3" name="Label1">
          <controlPr defaultSize="0" autoLine="0" r:id="rId4">
            <anchor moveWithCells="1">
              <from>
                <xdr:col>1</xdr:col>
                <xdr:colOff>0</xdr:colOff>
                <xdr:row>6</xdr:row>
                <xdr:rowOff>0</xdr:rowOff>
              </from>
              <to>
                <xdr:col>6</xdr:col>
                <xdr:colOff>381000</xdr:colOff>
                <xdr:row>7</xdr:row>
                <xdr:rowOff>0</xdr:rowOff>
              </to>
            </anchor>
          </controlPr>
        </control>
      </mc:Choice>
      <mc:Fallback>
        <control shapeId="4097" r:id="rId3" name="Label1"/>
      </mc:Fallback>
    </mc:AlternateContent>
    <mc:AlternateContent xmlns:mc="http://schemas.openxmlformats.org/markup-compatibility/2006">
      <mc:Choice Requires="x14">
        <control shapeId="4098" r:id="rId5" name="Label2">
          <controlPr defaultSize="0" autoLine="0" r:id="rId6">
            <anchor moveWithCells="1">
              <from>
                <xdr:col>1</xdr:col>
                <xdr:colOff>0</xdr:colOff>
                <xdr:row>5</xdr:row>
                <xdr:rowOff>0</xdr:rowOff>
              </from>
              <to>
                <xdr:col>6</xdr:col>
                <xdr:colOff>381000</xdr:colOff>
                <xdr:row>6</xdr:row>
                <xdr:rowOff>0</xdr:rowOff>
              </to>
            </anchor>
          </controlPr>
        </control>
      </mc:Choice>
      <mc:Fallback>
        <control shapeId="4098" r:id="rId5" name="Label2"/>
      </mc:Fallback>
    </mc:AlternateContent>
    <mc:AlternateContent xmlns:mc="http://schemas.openxmlformats.org/markup-compatibility/2006">
      <mc:Choice Requires="x14">
        <control shapeId="4099" r:id="rId7" name="Label3">
          <controlPr defaultSize="0" autoLine="0" r:id="rId8">
            <anchor moveWithCells="1">
              <from>
                <xdr:col>1</xdr:col>
                <xdr:colOff>0</xdr:colOff>
                <xdr:row>4</xdr:row>
                <xdr:rowOff>0</xdr:rowOff>
              </from>
              <to>
                <xdr:col>6</xdr:col>
                <xdr:colOff>381000</xdr:colOff>
                <xdr:row>5</xdr:row>
                <xdr:rowOff>0</xdr:rowOff>
              </to>
            </anchor>
          </controlPr>
        </control>
      </mc:Choice>
      <mc:Fallback>
        <control shapeId="4099" r:id="rId7" name="Label3"/>
      </mc:Fallback>
    </mc:AlternateContent>
    <mc:AlternateContent xmlns:mc="http://schemas.openxmlformats.org/markup-compatibility/2006">
      <mc:Choice Requires="x14">
        <control shapeId="4100" r:id="rId9" name="Label4">
          <controlPr defaultSize="0" autoLine="0" r:id="rId10">
            <anchor moveWithCells="1">
              <from>
                <xdr:col>1</xdr:col>
                <xdr:colOff>0</xdr:colOff>
                <xdr:row>3</xdr:row>
                <xdr:rowOff>0</xdr:rowOff>
              </from>
              <to>
                <xdr:col>6</xdr:col>
                <xdr:colOff>381000</xdr:colOff>
                <xdr:row>4</xdr:row>
                <xdr:rowOff>0</xdr:rowOff>
              </to>
            </anchor>
          </controlPr>
        </control>
      </mc:Choice>
      <mc:Fallback>
        <control shapeId="4100" r:id="rId9" name="Label4"/>
      </mc:Fallback>
    </mc:AlternateContent>
    <mc:AlternateContent xmlns:mc="http://schemas.openxmlformats.org/markup-compatibility/2006">
      <mc:Choice Requires="x14">
        <control shapeId="4101" r:id="rId11" name="Label5">
          <controlPr defaultSize="0" autoLine="0" r:id="rId12">
            <anchor moveWithCells="1">
              <from>
                <xdr:col>1</xdr:col>
                <xdr:colOff>0</xdr:colOff>
                <xdr:row>2</xdr:row>
                <xdr:rowOff>0</xdr:rowOff>
              </from>
              <to>
                <xdr:col>6</xdr:col>
                <xdr:colOff>381000</xdr:colOff>
                <xdr:row>3</xdr:row>
                <xdr:rowOff>0</xdr:rowOff>
              </to>
            </anchor>
          </controlPr>
        </control>
      </mc:Choice>
      <mc:Fallback>
        <control shapeId="4101" r:id="rId11" name="Label5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1"/>
  <sheetViews>
    <sheetView showGridLines="0" workbookViewId="0">
      <selection activeCell="J10" sqref="J10"/>
    </sheetView>
  </sheetViews>
  <sheetFormatPr defaultRowHeight="14.25"/>
  <cols>
    <col min="1" max="1" width="19.75" customWidth="1"/>
    <col min="2" max="2" width="3.25" bestFit="1" customWidth="1"/>
    <col min="3" max="6" width="15.25" customWidth="1"/>
  </cols>
  <sheetData>
    <row r="1" spans="1:6" ht="25.5" customHeight="1">
      <c r="A1" s="19"/>
      <c r="B1" s="8"/>
      <c r="C1" s="8"/>
      <c r="D1" s="8"/>
      <c r="E1" s="8"/>
      <c r="F1" s="8"/>
    </row>
    <row r="3" spans="1:6" ht="15">
      <c r="A3" s="15" t="s">
        <v>219</v>
      </c>
      <c r="B3" s="15"/>
      <c r="C3" s="15"/>
      <c r="D3" s="15"/>
      <c r="E3" s="15"/>
      <c r="F3" s="15"/>
    </row>
    <row r="4" spans="1:6">
      <c r="A4" s="20">
        <f>COUNTIF(CampaignData[Clicked?],"Yes")/COUNTA(CampaignData[Lead ID])</f>
        <v>0.17777777777777778</v>
      </c>
    </row>
    <row r="5" spans="1:6">
      <c r="A5" s="14"/>
    </row>
    <row r="8" spans="1:6" ht="15">
      <c r="A8" s="15" t="s">
        <v>220</v>
      </c>
      <c r="B8" s="15"/>
      <c r="C8" s="15"/>
      <c r="D8" s="15"/>
      <c r="E8" s="15"/>
      <c r="F8" s="15"/>
    </row>
    <row r="9" spans="1:6">
      <c r="A9" s="20">
        <f>COUNTIFS(CampaignData[Clicked?],"Yes",CampaignData[Booked Demo?],"Yes")/COUNTA(CampaignData[Lead ID])</f>
        <v>0.1</v>
      </c>
    </row>
    <row r="10" spans="1:6">
      <c r="A10" s="14"/>
    </row>
    <row r="13" spans="1:6" ht="15">
      <c r="A13" s="15" t="s">
        <v>218</v>
      </c>
      <c r="B13" s="15"/>
      <c r="C13" s="15"/>
      <c r="D13" s="15"/>
      <c r="E13" s="15"/>
      <c r="F13" s="15"/>
    </row>
    <row r="15" spans="1:6" ht="15">
      <c r="A15" s="11" t="s">
        <v>13</v>
      </c>
      <c r="B15" s="11"/>
      <c r="C15" s="7" t="s">
        <v>31</v>
      </c>
      <c r="D15" s="7" t="s">
        <v>42</v>
      </c>
      <c r="E15" s="7" t="s">
        <v>17</v>
      </c>
      <c r="F15" s="7" t="s">
        <v>24</v>
      </c>
    </row>
    <row r="16" spans="1:6" ht="16.5" customHeight="1">
      <c r="A16" s="6" t="s">
        <v>38</v>
      </c>
      <c r="B16" s="22" t="s">
        <v>216</v>
      </c>
      <c r="C16" s="21">
        <f>COUNTIFS(CampaignData[Campaign Channel],Answers!C$15,CampaignData[Outcome],$A16)/COUNTIF(CampaignData[Campaign Channel],C$15)</f>
        <v>6.6666666666666666E-2</v>
      </c>
      <c r="D16" s="21">
        <f>COUNTIFS(CampaignData[Campaign Channel],Answers!D$15,CampaignData[Outcome],$A16)/COUNTIF(CampaignData[Campaign Channel],D$15)</f>
        <v>0.25</v>
      </c>
      <c r="E16" s="21">
        <f>COUNTIFS(CampaignData[Campaign Channel],Answers!E$15,CampaignData[Outcome],$A16)/COUNTIF(CampaignData[Campaign Channel],E$15)</f>
        <v>9.0909090909090912E-2</v>
      </c>
      <c r="F16" s="21">
        <f>COUNTIFS(CampaignData[Campaign Channel],Answers!F$15,CampaignData[Outcome],$A16)/COUNTIF(CampaignData[Campaign Channel],F$15)</f>
        <v>9.0909090909090912E-2</v>
      </c>
    </row>
    <row r="17" spans="1:6" ht="16.5" customHeight="1">
      <c r="A17" s="6" t="s">
        <v>221</v>
      </c>
      <c r="B17" s="23"/>
      <c r="C17" s="21">
        <f>COUNTIFS(CampaignData[Campaign Channel],Answers!C$15,CampaignData[Outcome],$A17)/COUNTIF(CampaignData[Campaign Channel],C$15)</f>
        <v>0</v>
      </c>
      <c r="D17" s="21">
        <f>COUNTIFS(CampaignData[Campaign Channel],Answers!D$15,CampaignData[Outcome],$A17)/COUNTIF(CampaignData[Campaign Channel],D$15)</f>
        <v>3.125E-2</v>
      </c>
      <c r="E17" s="21">
        <f>COUNTIFS(CampaignData[Campaign Channel],Answers!E$15,CampaignData[Outcome],$A17)/COUNTIF(CampaignData[Campaign Channel],E$15)</f>
        <v>1.8181818181818181E-2</v>
      </c>
      <c r="F17" s="21">
        <f>COUNTIFS(CampaignData[Campaign Channel],Answers!F$15,CampaignData[Outcome],$A17)/COUNTIF(CampaignData[Campaign Channel],F$15)</f>
        <v>0</v>
      </c>
    </row>
    <row r="18" spans="1:6" ht="16.5" customHeight="1">
      <c r="A18" s="6" t="s">
        <v>222</v>
      </c>
      <c r="B18" s="23"/>
      <c r="C18" s="21">
        <f>COUNTIFS(CampaignData[Campaign Channel],Answers!C$15,CampaignData[Outcome],$A18)/COUNTIF(CampaignData[Campaign Channel],C$15)</f>
        <v>6.6666666666666666E-2</v>
      </c>
      <c r="D18" s="21">
        <f>COUNTIFS(CampaignData[Campaign Channel],Answers!D$15,CampaignData[Outcome],$A18)/COUNTIF(CampaignData[Campaign Channel],D$15)</f>
        <v>6.25E-2</v>
      </c>
      <c r="E18" s="21">
        <f>COUNTIFS(CampaignData[Campaign Channel],Answers!E$15,CampaignData[Outcome],$A18)/COUNTIF(CampaignData[Campaign Channel],E$15)</f>
        <v>7.2727272727272724E-2</v>
      </c>
      <c r="F18" s="21">
        <f>COUNTIFS(CampaignData[Campaign Channel],Answers!F$15,CampaignData[Outcome],$A18)/COUNTIF(CampaignData[Campaign Channel],F$15)</f>
        <v>0</v>
      </c>
    </row>
    <row r="19" spans="1:6" ht="16.5" customHeight="1">
      <c r="A19" s="6" t="s">
        <v>27</v>
      </c>
      <c r="B19" s="23"/>
      <c r="C19" s="21">
        <f>COUNTIFS(CampaignData[Campaign Channel],Answers!C$15,CampaignData[Outcome],$A19)/COUNTIF(CampaignData[Campaign Channel],C$15)</f>
        <v>0.4</v>
      </c>
      <c r="D19" s="21">
        <f>COUNTIFS(CampaignData[Campaign Channel],Answers!D$15,CampaignData[Outcome],$A19)/COUNTIF(CampaignData[Campaign Channel],D$15)</f>
        <v>0.34375</v>
      </c>
      <c r="E19" s="21">
        <f>COUNTIFS(CampaignData[Campaign Channel],Answers!E$15,CampaignData[Outcome],$A19)/COUNTIF(CampaignData[Campaign Channel],E$15)</f>
        <v>0.27272727272727271</v>
      </c>
      <c r="F19" s="21">
        <f>COUNTIFS(CampaignData[Campaign Channel],Answers!F$15,CampaignData[Outcome],$A19)/COUNTIF(CampaignData[Campaign Channel],F$15)</f>
        <v>0.33333333333333331</v>
      </c>
    </row>
    <row r="20" spans="1:6" ht="16.5" customHeight="1">
      <c r="A20" s="6" t="s">
        <v>20</v>
      </c>
      <c r="B20" s="23"/>
      <c r="C20" s="21">
        <f>COUNTIFS(CampaignData[Campaign Channel],Answers!C$15,CampaignData[Outcome],$A20)/COUNTIF(CampaignData[Campaign Channel],C$15)</f>
        <v>0.46666666666666667</v>
      </c>
      <c r="D20" s="21">
        <f>COUNTIFS(CampaignData[Campaign Channel],Answers!D$15,CampaignData[Outcome],$A20)/COUNTIF(CampaignData[Campaign Channel],D$15)</f>
        <v>0.3125</v>
      </c>
      <c r="E20" s="21">
        <f>COUNTIFS(CampaignData[Campaign Channel],Answers!E$15,CampaignData[Outcome],$A20)/COUNTIF(CampaignData[Campaign Channel],E$15)</f>
        <v>0.54545454545454541</v>
      </c>
      <c r="F20" s="21">
        <f>COUNTIFS(CampaignData[Campaign Channel],Answers!F$15,CampaignData[Outcome],$A20)/COUNTIF(CampaignData[Campaign Channel],F$15)</f>
        <v>0.5757575757575758</v>
      </c>
    </row>
    <row r="21" spans="1:6" ht="15">
      <c r="C21" s="13"/>
      <c r="D21" s="13"/>
      <c r="E21" s="13"/>
      <c r="F21" s="13"/>
    </row>
    <row r="22" spans="1:6" ht="10.5" customHeight="1">
      <c r="A22" s="1"/>
      <c r="B22" s="1"/>
      <c r="C22" s="1"/>
      <c r="D22" s="1"/>
      <c r="E22" s="1"/>
      <c r="F22" s="1"/>
    </row>
    <row r="23" spans="1:6" ht="10.5" customHeight="1">
      <c r="A23" s="3"/>
      <c r="B23" s="3"/>
      <c r="C23" s="1"/>
      <c r="D23" s="17"/>
      <c r="E23" s="17"/>
      <c r="F23" s="17"/>
    </row>
    <row r="24" spans="1:6" s="12" customFormat="1" ht="19.5" customHeight="1">
      <c r="A24" s="6" t="s">
        <v>38</v>
      </c>
      <c r="B24" s="24" t="s">
        <v>217</v>
      </c>
      <c r="C24" s="16">
        <f>IFERROR(AVERAGEIFS(CampaignData[Net Value],CampaignData[Campaign Channel],Answers!C$15,CampaignData[Outcome],$A24),0)</f>
        <v>506.73500000000001</v>
      </c>
      <c r="D24" s="16">
        <f>IFERROR(AVERAGEIFS(CampaignData[Net Value],CampaignData[Campaign Channel],Answers!D$15,CampaignData[Outcome],$A24),0)</f>
        <v>1226.9324999999999</v>
      </c>
      <c r="E24" s="16">
        <f>IFERROR(AVERAGEIFS(CampaignData[Net Value],CampaignData[Campaign Channel],Answers!E$15,CampaignData[Outcome],$A24),0)</f>
        <v>684.16399999999999</v>
      </c>
      <c r="F24" s="16">
        <f>IFERROR(AVERAGEIFS(CampaignData[Net Value],CampaignData[Campaign Channel],Answers!F$15,CampaignData[Outcome],$A24),0)</f>
        <v>657.66666666666663</v>
      </c>
    </row>
    <row r="25" spans="1:6" s="12" customFormat="1" ht="19.5" customHeight="1">
      <c r="A25" s="6" t="s">
        <v>221</v>
      </c>
      <c r="B25" s="24"/>
      <c r="C25" s="16">
        <f>IFERROR(AVERAGEIFS(CampaignData[Net Value],CampaignData[Campaign Channel],Answers!C$15,CampaignData[Outcome],$A25),0)</f>
        <v>0</v>
      </c>
      <c r="D25" s="16">
        <f>IFERROR(AVERAGEIFS(CampaignData[Net Value],CampaignData[Campaign Channel],Answers!D$15,CampaignData[Outcome],$A25),0)</f>
        <v>-50.29</v>
      </c>
      <c r="E25" s="16">
        <f>IFERROR(AVERAGEIFS(CampaignData[Net Value],CampaignData[Campaign Channel],Answers!E$15,CampaignData[Outcome],$A25),0)</f>
        <v>-37.200000000000003</v>
      </c>
      <c r="F25" s="16">
        <f>IFERROR(AVERAGEIFS(CampaignData[Net Value],CampaignData[Campaign Channel],Answers!F$15,CampaignData[Outcome],$A25),0)</f>
        <v>0</v>
      </c>
    </row>
    <row r="26" spans="1:6" s="12" customFormat="1" ht="19.5" customHeight="1">
      <c r="A26" s="6" t="s">
        <v>222</v>
      </c>
      <c r="B26" s="24"/>
      <c r="C26" s="16">
        <f>IFERROR(AVERAGEIFS(CampaignData[Net Value],CampaignData[Campaign Channel],Answers!C$15,CampaignData[Outcome],$A26),0)</f>
        <v>-11.947499999999998</v>
      </c>
      <c r="D26" s="16">
        <f>IFERROR(AVERAGEIFS(CampaignData[Net Value],CampaignData[Campaign Channel],Answers!D$15,CampaignData[Outcome],$A26),0)</f>
        <v>-69.834999999999994</v>
      </c>
      <c r="E26" s="16">
        <f>IFERROR(AVERAGEIFS(CampaignData[Net Value],CampaignData[Campaign Channel],Answers!E$15,CampaignData[Outcome],$A26),0)</f>
        <v>-32.497500000000002</v>
      </c>
      <c r="F26" s="16">
        <f>IFERROR(AVERAGEIFS(CampaignData[Net Value],CampaignData[Campaign Channel],Answers!F$15,CampaignData[Outcome],$A26),0)</f>
        <v>0</v>
      </c>
    </row>
    <row r="27" spans="1:6" s="12" customFormat="1" ht="19.5" customHeight="1">
      <c r="A27" s="6" t="s">
        <v>27</v>
      </c>
      <c r="B27" s="24"/>
      <c r="C27" s="16">
        <f>IFERROR(AVERAGEIFS(CampaignData[Net Value],CampaignData[Campaign Channel],Answers!C$15,CampaignData[Outcome],$A27),0)</f>
        <v>-14.547083333333335</v>
      </c>
      <c r="D27" s="16">
        <f>IFERROR(AVERAGEIFS(CampaignData[Net Value],CampaignData[Campaign Channel],Answers!D$15,CampaignData[Outcome],$A27),0)</f>
        <v>-56.921818181818182</v>
      </c>
      <c r="E27" s="16">
        <f>IFERROR(AVERAGEIFS(CampaignData[Net Value],CampaignData[Campaign Channel],Answers!E$15,CampaignData[Outcome],$A27),0)</f>
        <v>-30.202666666666669</v>
      </c>
      <c r="F27" s="16">
        <f>IFERROR(AVERAGEIFS(CampaignData[Net Value],CampaignData[Campaign Channel],Answers!F$15,CampaignData[Outcome],$A27),0)</f>
        <v>-27.870909090909095</v>
      </c>
    </row>
    <row r="28" spans="1:6" s="12" customFormat="1" ht="19.5" customHeight="1">
      <c r="A28" s="6" t="s">
        <v>20</v>
      </c>
      <c r="B28" s="24"/>
      <c r="C28" s="16">
        <f>IFERROR(AVERAGEIFS(CampaignData[Net Value],CampaignData[Campaign Channel],Answers!C$15,CampaignData[Outcome],$A28),0)</f>
        <v>-13.646785714285715</v>
      </c>
      <c r="D28" s="16">
        <f>IFERROR(AVERAGEIFS(CampaignData[Net Value],CampaignData[Campaign Channel],Answers!D$15,CampaignData[Outcome],$A28),0)</f>
        <v>-53.123000000000005</v>
      </c>
      <c r="E28" s="16">
        <f>IFERROR(AVERAGEIFS(CampaignData[Net Value],CampaignData[Campaign Channel],Answers!E$15,CampaignData[Outcome],$A28),0)</f>
        <v>-32.317666666666661</v>
      </c>
      <c r="F28" s="16">
        <f>IFERROR(AVERAGEIFS(CampaignData[Net Value],CampaignData[Campaign Channel],Answers!F$15,CampaignData[Outcome],$A28),0)</f>
        <v>-27.089473684210521</v>
      </c>
    </row>
    <row r="30" spans="1:6" ht="15">
      <c r="C30" s="9"/>
      <c r="D30" s="9"/>
      <c r="E30" s="9"/>
      <c r="F30" s="9"/>
    </row>
    <row r="31" spans="1:6" ht="15">
      <c r="A31" s="5" t="s">
        <v>215</v>
      </c>
      <c r="B31" s="5"/>
      <c r="C31" s="10">
        <f>SUMPRODUCT(C16:C20,C24:C28)</f>
        <v>20.798499999999997</v>
      </c>
      <c r="D31" s="10">
        <f t="shared" ref="D31:F31" si="0">SUMPRODUCT(D16:D20,D24:D28)</f>
        <v>264.62906249999997</v>
      </c>
      <c r="E31" s="10">
        <f t="shared" si="0"/>
        <v>33.292000000000002</v>
      </c>
      <c r="F31" s="10">
        <f t="shared" si="0"/>
        <v>34.900606060606066</v>
      </c>
    </row>
  </sheetData>
  <mergeCells count="2">
    <mergeCell ref="B16:B20"/>
    <mergeCell ref="B24:B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Campaign Data</vt:lpstr>
      <vt:lpstr>IRI_UO_WorkspaceStorage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Mynda Treacy</dc:creator>
  <cp:lastModifiedBy>Luyolo Nimako</cp:lastModifiedBy>
  <dcterms:created xsi:type="dcterms:W3CDTF">2026-05-29T09:52:54Z</dcterms:created>
  <dcterms:modified xsi:type="dcterms:W3CDTF">2026-08-12T21:40:52Z</dcterms:modified>
</cp:coreProperties>
</file>